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명" sheetId="1" state="visible" r:id="rId1"/>
    <sheet name="직급별_업무시간_할당량" sheetId="2" state="visible" r:id="rId2"/>
    <sheet name="설문_문항" sheetId="3" state="visible" r:id="rId3"/>
    <sheet name="설문_응답" sheetId="4" state="visible" r:id="rId4"/>
    <sheet name="설문_집계" sheetId="5" state="visible" r:id="rId5"/>
  </sheets>
  <definedNames>
    <definedName name="_xlnm._FilterDatabase" localSheetId="3" hidden="1">'설문_응답'!$A$1:$H$121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13"/>
    </font>
    <font>
      <name val="맑은 고딕"/>
      <color rgb="0052514E"/>
      <sz val="10"/>
    </font>
    <font>
      <name val="맑은 고딕"/>
      <color rgb="00898781"/>
      <sz val="10"/>
    </font>
    <font>
      <name val="맑은 고딕"/>
      <color rgb="000000FF"/>
      <sz val="10"/>
    </font>
    <font>
      <name val="맑은 고딕"/>
      <b val="1"/>
      <sz val="1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3F3F0"/>
      </patternFill>
    </fill>
  </fills>
  <borders count="2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6" fillId="0" borderId="1" pivotButton="0" quotePrefix="0" xfId="0"/>
    <xf numFmtId="164" fontId="7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8" fillId="0" borderId="0" pivotButton="0" quotePrefix="0" xfId="0"/>
    <xf numFmtId="165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7" fillId="0" borderId="0" pivotButton="0" quotePrefix="0" xfId="0"/>
    <xf numFmtId="164" fontId="7" fillId="0" borderId="0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과제 활용 데이터 (더미)</t>
        </is>
      </c>
    </row>
    <row r="2">
      <c r="A2" s="2" t="inlineStr"/>
    </row>
    <row r="3">
      <c r="A3" s="2" t="inlineStr">
        <is>
          <t>과제 조건</t>
        </is>
      </c>
      <c r="B3" s="3" t="inlineStr">
        <is>
          <t>AI로 생성한 '직급별 업무 시간 할당량' 또는 '가장 하기 싫은 업무 설문조사' 더미 데이터</t>
        </is>
      </c>
    </row>
    <row r="4">
      <c r="A4" s="2" t="inlineStr">
        <is>
          <t>이 파일</t>
        </is>
      </c>
      <c r="B4" s="3" t="inlineStr">
        <is>
          <t>두 데이터를 모두 담았다. 모든 값은 시연용 더미이며 실제 회사 자료가 아니다.</t>
        </is>
      </c>
    </row>
    <row r="5">
      <c r="A5" s="2" t="inlineStr">
        <is>
          <t>생성 방법</t>
        </is>
      </c>
      <c r="B5" s="3" t="inlineStr">
        <is>
          <t>AI(Claude)가 작성한 생성기(seedgen)가 정한 가정과 고정 시드로 만든다. 같은 시드면 같은 값이 나온다.</t>
        </is>
      </c>
    </row>
    <row r="6">
      <c r="A6" s="2" t="inlineStr">
        <is>
          <t>시드</t>
        </is>
      </c>
      <c r="B6" s="3" t="n">
        <v>20261112</v>
      </c>
    </row>
    <row r="7">
      <c r="A7" s="2" t="inlineStr">
        <is>
          <t>기준 시점(시연 시계)</t>
        </is>
      </c>
      <c r="B7" s="3" t="inlineStr">
        <is>
          <t>2026-11-12T10:00:00</t>
        </is>
      </c>
    </row>
    <row r="8">
      <c r="A8" s="2" t="inlineStr">
        <is>
          <t>다시 만들기</t>
        </is>
      </c>
      <c r="B8" s="3" t="inlineStr">
        <is>
          <t>uv run approval-seed build  →  seed/과제_활용데이터.xlsx</t>
        </is>
      </c>
    </row>
    <row r="9">
      <c r="A9" s="2" t="inlineStr"/>
    </row>
    <row r="10">
      <c r="A10" s="4" t="inlineStr">
        <is>
          <t>시트</t>
        </is>
      </c>
      <c r="B10" s="5" t="inlineStr">
        <is>
          <t>내용</t>
        </is>
      </c>
    </row>
    <row r="11">
      <c r="A11" s="2" t="inlineStr">
        <is>
          <t>직급별_업무시간_할당량</t>
        </is>
      </c>
      <c r="B11" s="3" t="inlineStr">
        <is>
          <t>직급군 × 업무 범주(전결 처리는 6단계로 나눔)의 주당 시간. 합계·비중은 수식</t>
        </is>
      </c>
    </row>
    <row r="12">
      <c r="A12" s="2" t="inlineStr">
        <is>
          <t>설문_문항</t>
        </is>
      </c>
      <c r="B12" s="3" t="inlineStr">
        <is>
          <t>설문 문항과 선택지 정의</t>
        </is>
      </c>
    </row>
    <row r="13">
      <c r="A13" s="2" t="inlineStr">
        <is>
          <t>설문_응답</t>
        </is>
      </c>
      <c r="B13" s="3" t="inlineStr">
        <is>
          <t>응답 120건 원자료 (부서, 직급군, 1~3순위, 주당 전결 처리 시간, 이유)</t>
        </is>
      </c>
    </row>
    <row r="14">
      <c r="A14" s="2" t="inlineStr">
        <is>
          <t>설문_집계</t>
        </is>
      </c>
      <c r="B14" s="3" t="inlineStr">
        <is>
          <t>선택지별 1·2·3순위 수와 가중 점수(1순위 3점, 2순위 2점, 3순위 1점), 순위, 직급군별 1순위 교차표 (모두 수식)</t>
        </is>
      </c>
    </row>
    <row r="15">
      <c r="A15" s="2" t="inlineStr"/>
    </row>
    <row r="16">
      <c r="A16" s="2" t="inlineStr">
        <is>
          <t>업무 범주</t>
        </is>
      </c>
      <c r="B16" s="3" t="inlineStr">
        <is>
          <t>본업 · 회의 · 전결 처리 · 기타 사무 (설계서 8.2)</t>
        </is>
      </c>
    </row>
    <row r="17">
      <c r="A17" s="2" t="inlineStr">
        <is>
          <t>전결 처리 6단계</t>
        </is>
      </c>
      <c r="B17" s="3" t="inlineStr">
        <is>
          <t>처리 파악 · 증빙 준비 · 문서 작성 · 반려 후 재작성 · 진행 확인·문의 · 결재 검토 (설계서 1.2)</t>
        </is>
      </c>
    </row>
    <row r="18">
      <c r="A18" s="2" t="inlineStr">
        <is>
          <t xml:space="preserve">  처리 파악</t>
        </is>
      </c>
      <c r="B18" s="3" t="inlineStr">
        <is>
          <t>어떤 결재를 올려야 하는지, 양식·전결권자가 무엇인지 찾는 시간</t>
        </is>
      </c>
    </row>
    <row r="19">
      <c r="A19" s="2" t="inlineStr">
        <is>
          <t xml:space="preserve">  증빙 준비</t>
        </is>
      </c>
      <c r="B19" s="3" t="inlineStr">
        <is>
          <t>영수증 정리·옮겨 적기, 합계 대조, 중복·한도 확인</t>
        </is>
      </c>
    </row>
    <row r="20">
      <c r="A20" s="2" t="inlineStr">
        <is>
          <t xml:space="preserve">  문서 작성</t>
        </is>
      </c>
      <c r="B20" s="3" t="inlineStr">
        <is>
          <t>양식 항목 채우기, 메모 내용 옮기기</t>
        </is>
      </c>
    </row>
    <row r="21">
      <c r="A21" s="2" t="inlineStr">
        <is>
          <t xml:space="preserve">  반려 후 재작성</t>
        </is>
      </c>
      <c r="B21" s="3" t="inlineStr">
        <is>
          <t>누락·한도 초과·증빙 문제로 반려되어 다시 쓰는 시간</t>
        </is>
      </c>
    </row>
    <row r="22">
      <c r="A22" s="2" t="inlineStr">
        <is>
          <t xml:space="preserve">  진행 확인·문의</t>
        </is>
      </c>
      <c r="B22" s="3" t="inlineStr">
        <is>
          <t>결재가 어디까지 갔는지 확인하고 결재자에게 묻는 시간</t>
        </is>
      </c>
    </row>
    <row r="23">
      <c r="A23" s="2" t="inlineStr">
        <is>
          <t xml:space="preserve">  결재 검토</t>
        </is>
      </c>
      <c r="B23" s="3" t="inlineStr">
        <is>
          <t>결재자가 대기 결재를 고르고 문서마다 규정·증빙을 확인하는 시간</t>
        </is>
      </c>
    </row>
    <row r="24">
      <c r="A24" s="2" t="inlineStr"/>
    </row>
    <row r="25">
      <c r="A25" s="4" t="inlineStr">
        <is>
          <t>가정 (생성기에 적힌 값)</t>
        </is>
      </c>
    </row>
    <row r="26">
      <c r="A26" s="2" t="inlineStr">
        <is>
          <t>할당량</t>
        </is>
      </c>
      <c r="B26" s="3" t="inlineStr">
        <is>
          <t>직급군별 기본값에 ±5% 잡음. 주당 약 40시간. 결재 검토 시간은 팀장 이상에서 크게 두었다.</t>
        </is>
      </c>
    </row>
    <row r="27">
      <c r="A27" s="2" t="inlineStr">
        <is>
          <t>설문</t>
        </is>
      </c>
      <c r="B27" s="3" t="inlineStr">
        <is>
          <t>직급군별 선택 가중치를 다르게 둔 무작위 응답. 결재 검토는 팀장 이상에서 자주 고르도록 했다.</t>
        </is>
      </c>
    </row>
    <row r="28">
      <c r="A28" s="2" t="inlineStr">
        <is>
          <t>주의</t>
        </is>
      </c>
      <c r="B28" s="3" t="inlineStr">
        <is>
          <t>특정 결론(예: 하루 1시간 절감)에 맞추려고 값을 고치지 않았다. 실제 비중은 파일럿에서 측정한다.</t>
        </is>
      </c>
    </row>
    <row r="29">
      <c r="A29" s="2" t="inlineStr">
        <is>
          <t>표기</t>
        </is>
      </c>
      <c r="B29" s="3" t="inlineStr">
        <is>
          <t>파란 글자 = 생성된 입력값(더미), 검은 글자 = 수식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</cols>
  <sheetData>
    <row r="1">
      <c r="A1" s="6" t="inlineStr">
        <is>
          <t>직급별 업무 시간 할당량 (주당 시간, 더미)</t>
        </is>
      </c>
    </row>
    <row r="2">
      <c r="A2" s="7" t="inlineStr">
        <is>
          <t>파란 글자는 생성된 입력값, 검은 글자는 수식. 단위: 시간/주</t>
        </is>
      </c>
    </row>
    <row r="4">
      <c r="A4" s="8" t="inlineStr">
        <is>
          <t>업무 범주</t>
        </is>
      </c>
      <c r="B4" s="8" t="inlineStr">
        <is>
          <t>세부 단계</t>
        </is>
      </c>
      <c r="C4" s="8" t="inlineStr">
        <is>
          <t>사원</t>
        </is>
      </c>
      <c r="D4" s="8" t="inlineStr">
        <is>
          <t>선임</t>
        </is>
      </c>
      <c r="E4" s="8" t="inlineStr">
        <is>
          <t>책임</t>
        </is>
      </c>
      <c r="F4" s="8" t="inlineStr">
        <is>
          <t>수석</t>
        </is>
      </c>
      <c r="G4" s="8" t="inlineStr">
        <is>
          <t>팀장 이상</t>
        </is>
      </c>
    </row>
    <row r="5">
      <c r="A5" s="9" t="inlineStr">
        <is>
          <t>본업</t>
        </is>
      </c>
      <c r="B5" s="10" t="inlineStr">
        <is>
          <t>—</t>
        </is>
      </c>
      <c r="C5" s="11" t="n">
        <v>25.3</v>
      </c>
      <c r="D5" s="11" t="n">
        <v>24.9</v>
      </c>
      <c r="E5" s="11" t="n">
        <v>22.9</v>
      </c>
      <c r="F5" s="11" t="n">
        <v>21.3</v>
      </c>
      <c r="G5" s="11" t="n">
        <v>13.9</v>
      </c>
    </row>
    <row r="6">
      <c r="A6" s="9" t="inlineStr">
        <is>
          <t>회의</t>
        </is>
      </c>
      <c r="B6" s="10" t="inlineStr">
        <is>
          <t>—</t>
        </is>
      </c>
      <c r="C6" s="11" t="n">
        <v>4.1</v>
      </c>
      <c r="D6" s="11" t="n">
        <v>5.2</v>
      </c>
      <c r="E6" s="11" t="n">
        <v>5.9</v>
      </c>
      <c r="F6" s="11" t="n">
        <v>7.7</v>
      </c>
      <c r="G6" s="11" t="n">
        <v>10.5</v>
      </c>
    </row>
    <row r="7">
      <c r="A7" s="9" t="inlineStr">
        <is>
          <t>기타 사무</t>
        </is>
      </c>
      <c r="B7" s="10" t="inlineStr">
        <is>
          <t>—</t>
        </is>
      </c>
      <c r="C7" s="11" t="n">
        <v>3.9</v>
      </c>
      <c r="D7" s="11" t="n">
        <v>3.9</v>
      </c>
      <c r="E7" s="11" t="n">
        <v>4.1</v>
      </c>
      <c r="F7" s="11" t="n">
        <v>4.1</v>
      </c>
      <c r="G7" s="11" t="n">
        <v>5.1</v>
      </c>
    </row>
    <row r="8">
      <c r="A8" s="9" t="inlineStr">
        <is>
          <t>전결 처리</t>
        </is>
      </c>
      <c r="B8" s="9" t="inlineStr">
        <is>
          <t>처리 파악</t>
        </is>
      </c>
      <c r="C8" s="11" t="n">
        <v>1.2</v>
      </c>
      <c r="D8" s="11" t="n">
        <v>1.1</v>
      </c>
      <c r="E8" s="11" t="n">
        <v>1</v>
      </c>
      <c r="F8" s="11" t="n">
        <v>0.8</v>
      </c>
      <c r="G8" s="11" t="n">
        <v>0.8</v>
      </c>
    </row>
    <row r="9">
      <c r="A9" s="9" t="inlineStr">
        <is>
          <t>전결 처리</t>
        </is>
      </c>
      <c r="B9" s="9" t="inlineStr">
        <is>
          <t>증빙 준비</t>
        </is>
      </c>
      <c r="C9" s="11" t="n">
        <v>1.7</v>
      </c>
      <c r="D9" s="11" t="n">
        <v>1.6</v>
      </c>
      <c r="E9" s="11" t="n">
        <v>1.4</v>
      </c>
      <c r="F9" s="11" t="n">
        <v>1.1</v>
      </c>
      <c r="G9" s="11" t="n">
        <v>0.9</v>
      </c>
    </row>
    <row r="10">
      <c r="A10" s="9" t="inlineStr">
        <is>
          <t>전결 처리</t>
        </is>
      </c>
      <c r="B10" s="9" t="inlineStr">
        <is>
          <t>문서 작성</t>
        </is>
      </c>
      <c r="C10" s="11" t="n">
        <v>1.5</v>
      </c>
      <c r="D10" s="11" t="n">
        <v>1.7</v>
      </c>
      <c r="E10" s="11" t="n">
        <v>1.7</v>
      </c>
      <c r="F10" s="11" t="n">
        <v>1.7</v>
      </c>
      <c r="G10" s="11" t="n">
        <v>1.4</v>
      </c>
    </row>
    <row r="11">
      <c r="A11" s="9" t="inlineStr">
        <is>
          <t>전결 처리</t>
        </is>
      </c>
      <c r="B11" s="9" t="inlineStr">
        <is>
          <t>반려 후 재작성</t>
        </is>
      </c>
      <c r="C11" s="11" t="n">
        <v>0.9</v>
      </c>
      <c r="D11" s="11" t="n">
        <v>0.8</v>
      </c>
      <c r="E11" s="11" t="n">
        <v>0.7</v>
      </c>
      <c r="F11" s="11" t="n">
        <v>0.6</v>
      </c>
      <c r="G11" s="11" t="n">
        <v>0.4</v>
      </c>
    </row>
    <row r="12">
      <c r="A12" s="9" t="inlineStr">
        <is>
          <t>전결 처리</t>
        </is>
      </c>
      <c r="B12" s="9" t="inlineStr">
        <is>
          <t>진행 확인·문의</t>
        </is>
      </c>
      <c r="C12" s="11" t="n">
        <v>0.6</v>
      </c>
      <c r="D12" s="11" t="n">
        <v>0.6</v>
      </c>
      <c r="E12" s="11" t="n">
        <v>0.7</v>
      </c>
      <c r="F12" s="11" t="n">
        <v>0.7</v>
      </c>
      <c r="G12" s="11" t="n">
        <v>0.8</v>
      </c>
    </row>
    <row r="13">
      <c r="A13" s="9" t="inlineStr">
        <is>
          <t>전결 처리</t>
        </is>
      </c>
      <c r="B13" s="9" t="inlineStr">
        <is>
          <t>결재 검토</t>
        </is>
      </c>
      <c r="C13" s="11" t="n">
        <v>0</v>
      </c>
      <c r="D13" s="11" t="n">
        <v>0</v>
      </c>
      <c r="E13" s="11" t="n">
        <v>0.3</v>
      </c>
      <c r="F13" s="11" t="n">
        <v>0.6</v>
      </c>
      <c r="G13" s="11" t="n">
        <v>4</v>
      </c>
    </row>
    <row r="14">
      <c r="A14" s="12" t="inlineStr">
        <is>
          <t>합계 (주당)</t>
        </is>
      </c>
      <c r="B14" s="13" t="n"/>
      <c r="C14" s="14">
        <f>SUM(C5:C13)</f>
        <v/>
      </c>
      <c r="D14" s="14">
        <f>SUM(D5:D13)</f>
        <v/>
      </c>
      <c r="E14" s="14">
        <f>SUM(E5:E13)</f>
        <v/>
      </c>
      <c r="F14" s="14">
        <f>SUM(F5:F13)</f>
        <v/>
      </c>
      <c r="G14" s="14">
        <f>SUM(G5:G13)</f>
        <v/>
      </c>
    </row>
    <row r="15">
      <c r="A15" s="12" t="inlineStr">
        <is>
          <t>전결 처리 소계</t>
        </is>
      </c>
      <c r="B15" s="13" t="n"/>
      <c r="C15" s="14">
        <f>SUM(C8:C13)</f>
        <v/>
      </c>
      <c r="D15" s="14">
        <f>SUM(D8:D13)</f>
        <v/>
      </c>
      <c r="E15" s="14">
        <f>SUM(E8:E13)</f>
        <v/>
      </c>
      <c r="F15" s="14">
        <f>SUM(F8:F13)</f>
        <v/>
      </c>
      <c r="G15" s="14">
        <f>SUM(G8:G13)</f>
        <v/>
      </c>
    </row>
    <row r="16">
      <c r="A16" s="12" t="inlineStr">
        <is>
          <t>전결 처리 비중</t>
        </is>
      </c>
      <c r="B16" s="13" t="n"/>
      <c r="C16" s="15">
        <f>IF(C14=0,0,C15/C14)</f>
        <v/>
      </c>
      <c r="D16" s="15">
        <f>IF(D14=0,0,D15/D14)</f>
        <v/>
      </c>
      <c r="E16" s="15">
        <f>IF(E14=0,0,E15/E14)</f>
        <v/>
      </c>
      <c r="F16" s="15">
        <f>IF(F14=0,0,F15/F14)</f>
        <v/>
      </c>
      <c r="G16" s="15">
        <f>IF(G14=0,0,G15/G14)</f>
        <v/>
      </c>
    </row>
    <row r="18">
      <c r="A18" s="16" t="inlineStr">
        <is>
          <t>업무별 비중 (각 칸 ÷ 직급군 합계)</t>
        </is>
      </c>
    </row>
    <row r="19">
      <c r="A19" s="8" t="inlineStr">
        <is>
          <t>업무 범주</t>
        </is>
      </c>
      <c r="B19" s="8" t="inlineStr">
        <is>
          <t>세부 단계</t>
        </is>
      </c>
      <c r="C19" s="8" t="inlineStr">
        <is>
          <t>사원</t>
        </is>
      </c>
      <c r="D19" s="8" t="inlineStr">
        <is>
          <t>선임</t>
        </is>
      </c>
      <c r="E19" s="8" t="inlineStr">
        <is>
          <t>책임</t>
        </is>
      </c>
      <c r="F19" s="8" t="inlineStr">
        <is>
          <t>수석</t>
        </is>
      </c>
      <c r="G19" s="8" t="inlineStr">
        <is>
          <t>팀장 이상</t>
        </is>
      </c>
    </row>
    <row r="20">
      <c r="A20" s="9">
        <f>A5</f>
        <v/>
      </c>
      <c r="B20" s="9">
        <f>B5</f>
        <v/>
      </c>
      <c r="C20" s="17">
        <f>IF(C$14=0,0,C5/C$14)</f>
        <v/>
      </c>
      <c r="D20" s="17">
        <f>IF(D$14=0,0,D5/D$14)</f>
        <v/>
      </c>
      <c r="E20" s="17">
        <f>IF(E$14=0,0,E5/E$14)</f>
        <v/>
      </c>
      <c r="F20" s="17">
        <f>IF(F$14=0,0,F5/F$14)</f>
        <v/>
      </c>
      <c r="G20" s="17">
        <f>IF(G$14=0,0,G5/G$14)</f>
        <v/>
      </c>
    </row>
    <row r="21">
      <c r="A21" s="9">
        <f>A6</f>
        <v/>
      </c>
      <c r="B21" s="9">
        <f>B6</f>
        <v/>
      </c>
      <c r="C21" s="17">
        <f>IF(C$14=0,0,C6/C$14)</f>
        <v/>
      </c>
      <c r="D21" s="17">
        <f>IF(D$14=0,0,D6/D$14)</f>
        <v/>
      </c>
      <c r="E21" s="17">
        <f>IF(E$14=0,0,E6/E$14)</f>
        <v/>
      </c>
      <c r="F21" s="17">
        <f>IF(F$14=0,0,F6/F$14)</f>
        <v/>
      </c>
      <c r="G21" s="17">
        <f>IF(G$14=0,0,G6/G$14)</f>
        <v/>
      </c>
    </row>
    <row r="22">
      <c r="A22" s="9">
        <f>A7</f>
        <v/>
      </c>
      <c r="B22" s="9">
        <f>B7</f>
        <v/>
      </c>
      <c r="C22" s="17">
        <f>IF(C$14=0,0,C7/C$14)</f>
        <v/>
      </c>
      <c r="D22" s="17">
        <f>IF(D$14=0,0,D7/D$14)</f>
        <v/>
      </c>
      <c r="E22" s="17">
        <f>IF(E$14=0,0,E7/E$14)</f>
        <v/>
      </c>
      <c r="F22" s="17">
        <f>IF(F$14=0,0,F7/F$14)</f>
        <v/>
      </c>
      <c r="G22" s="17">
        <f>IF(G$14=0,0,G7/G$14)</f>
        <v/>
      </c>
    </row>
    <row r="23">
      <c r="A23" s="9">
        <f>A8</f>
        <v/>
      </c>
      <c r="B23" s="9">
        <f>B8</f>
        <v/>
      </c>
      <c r="C23" s="17">
        <f>IF(C$14=0,0,C8/C$14)</f>
        <v/>
      </c>
      <c r="D23" s="17">
        <f>IF(D$14=0,0,D8/D$14)</f>
        <v/>
      </c>
      <c r="E23" s="17">
        <f>IF(E$14=0,0,E8/E$14)</f>
        <v/>
      </c>
      <c r="F23" s="17">
        <f>IF(F$14=0,0,F8/F$14)</f>
        <v/>
      </c>
      <c r="G23" s="17">
        <f>IF(G$14=0,0,G8/G$14)</f>
        <v/>
      </c>
    </row>
    <row r="24">
      <c r="A24" s="9">
        <f>A9</f>
        <v/>
      </c>
      <c r="B24" s="9">
        <f>B9</f>
        <v/>
      </c>
      <c r="C24" s="17">
        <f>IF(C$14=0,0,C9/C$14)</f>
        <v/>
      </c>
      <c r="D24" s="17">
        <f>IF(D$14=0,0,D9/D$14)</f>
        <v/>
      </c>
      <c r="E24" s="17">
        <f>IF(E$14=0,0,E9/E$14)</f>
        <v/>
      </c>
      <c r="F24" s="17">
        <f>IF(F$14=0,0,F9/F$14)</f>
        <v/>
      </c>
      <c r="G24" s="17">
        <f>IF(G$14=0,0,G9/G$14)</f>
        <v/>
      </c>
    </row>
    <row r="25">
      <c r="A25" s="9">
        <f>A10</f>
        <v/>
      </c>
      <c r="B25" s="9">
        <f>B10</f>
        <v/>
      </c>
      <c r="C25" s="17">
        <f>IF(C$14=0,0,C10/C$14)</f>
        <v/>
      </c>
      <c r="D25" s="17">
        <f>IF(D$14=0,0,D10/D$14)</f>
        <v/>
      </c>
      <c r="E25" s="17">
        <f>IF(E$14=0,0,E10/E$14)</f>
        <v/>
      </c>
      <c r="F25" s="17">
        <f>IF(F$14=0,0,F10/F$14)</f>
        <v/>
      </c>
      <c r="G25" s="17">
        <f>IF(G$14=0,0,G10/G$14)</f>
        <v/>
      </c>
    </row>
    <row r="26">
      <c r="A26" s="9">
        <f>A11</f>
        <v/>
      </c>
      <c r="B26" s="9">
        <f>B11</f>
        <v/>
      </c>
      <c r="C26" s="17">
        <f>IF(C$14=0,0,C11/C$14)</f>
        <v/>
      </c>
      <c r="D26" s="17">
        <f>IF(D$14=0,0,D11/D$14)</f>
        <v/>
      </c>
      <c r="E26" s="17">
        <f>IF(E$14=0,0,E11/E$14)</f>
        <v/>
      </c>
      <c r="F26" s="17">
        <f>IF(F$14=0,0,F11/F$14)</f>
        <v/>
      </c>
      <c r="G26" s="17">
        <f>IF(G$14=0,0,G11/G$14)</f>
        <v/>
      </c>
    </row>
    <row r="27">
      <c r="A27" s="9">
        <f>A12</f>
        <v/>
      </c>
      <c r="B27" s="9">
        <f>B12</f>
        <v/>
      </c>
      <c r="C27" s="17">
        <f>IF(C$14=0,0,C12/C$14)</f>
        <v/>
      </c>
      <c r="D27" s="17">
        <f>IF(D$14=0,0,D12/D$14)</f>
        <v/>
      </c>
      <c r="E27" s="17">
        <f>IF(E$14=0,0,E12/E$14)</f>
        <v/>
      </c>
      <c r="F27" s="17">
        <f>IF(F$14=0,0,F12/F$14)</f>
        <v/>
      </c>
      <c r="G27" s="17">
        <f>IF(G$14=0,0,G12/G$14)</f>
        <v/>
      </c>
    </row>
    <row r="28">
      <c r="A28" s="9">
        <f>A13</f>
        <v/>
      </c>
      <c r="B28" s="9">
        <f>B13</f>
        <v/>
      </c>
      <c r="C28" s="17">
        <f>IF(C$14=0,0,C13/C$14)</f>
        <v/>
      </c>
      <c r="D28" s="17">
        <f>IF(D$14=0,0,D13/D$14)</f>
        <v/>
      </c>
      <c r="E28" s="17">
        <f>IF(E$14=0,0,E13/E$14)</f>
        <v/>
      </c>
      <c r="F28" s="17">
        <f>IF(F$14=0,0,F13/F$14)</f>
        <v/>
      </c>
      <c r="G28" s="17">
        <f>IF(G$14=0,0,G13/G$14)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24" customWidth="1" min="3" max="3"/>
    <col width="80" customWidth="1" min="4" max="4"/>
  </cols>
  <sheetData>
    <row r="1">
      <c r="A1" s="6" t="inlineStr">
        <is>
          <t>가장 하기 싫은 업무 설문 (문항, 더미)</t>
        </is>
      </c>
    </row>
    <row r="3">
      <c r="A3" s="8" t="inlineStr">
        <is>
          <t>문항</t>
        </is>
      </c>
      <c r="B3" s="8" t="inlineStr">
        <is>
          <t>질문</t>
        </is>
      </c>
      <c r="C3" s="8" t="inlineStr">
        <is>
          <t>응답 형식</t>
        </is>
      </c>
      <c r="D3" s="8" t="inlineStr">
        <is>
          <t>선택지</t>
        </is>
      </c>
    </row>
    <row r="4">
      <c r="A4" s="18" t="inlineStr">
        <is>
          <t>Q0</t>
        </is>
      </c>
      <c r="B4" s="18" t="inlineStr">
        <is>
          <t>소속 부서와 직급군</t>
        </is>
      </c>
      <c r="C4" s="18" t="inlineStr">
        <is>
          <t>선택</t>
        </is>
      </c>
      <c r="D4" s="18" t="inlineStr">
        <is>
          <t>부서: 연구1팀, 연구2팀, 시험평가팀, 경영지원팀 / 직급군: 사원, 선임, 책임, 수석, 팀장 이상</t>
        </is>
      </c>
    </row>
    <row r="5">
      <c r="A5" s="18" t="inlineStr">
        <is>
          <t>Q1</t>
        </is>
      </c>
      <c r="B5" s="18" t="inlineStr">
        <is>
          <t>결재·전결 업무 가운데 가장 하기 싫은 일 (1순위)</t>
        </is>
      </c>
      <c r="C5" s="18" t="inlineStr">
        <is>
          <t>단일 선택</t>
        </is>
      </c>
      <c r="D5" s="18" t="inlineStr">
        <is>
          <t>처리 파악, 증빙 준비, 문서 작성, 반려 후 재작성, 진행 확인·문의, 결재 검토, 기타 사무</t>
        </is>
      </c>
    </row>
    <row r="6">
      <c r="A6" s="18" t="inlineStr">
        <is>
          <t>Q2</t>
        </is>
      </c>
      <c r="B6" s="18" t="inlineStr">
        <is>
          <t>두 번째로 하기 싫은 일 (2순위)</t>
        </is>
      </c>
      <c r="C6" s="18" t="inlineStr">
        <is>
          <t>단일 선택 (Q1과 다른 것)</t>
        </is>
      </c>
      <c r="D6" s="18" t="inlineStr">
        <is>
          <t>처리 파악, 증빙 준비, 문서 작성, 반려 후 재작성, 진행 확인·문의, 결재 검토, 기타 사무</t>
        </is>
      </c>
    </row>
    <row r="7">
      <c r="A7" s="18" t="inlineStr">
        <is>
          <t>Q3</t>
        </is>
      </c>
      <c r="B7" s="18" t="inlineStr">
        <is>
          <t>세 번째로 하기 싫은 일 (3순위)</t>
        </is>
      </c>
      <c r="C7" s="18" t="inlineStr">
        <is>
          <t>단일 선택 (Q1·Q2와 다른 것)</t>
        </is>
      </c>
      <c r="D7" s="18" t="inlineStr">
        <is>
          <t>처리 파악, 증빙 준비, 문서 작성, 반려 후 재작성, 진행 확인·문의, 결재 검토, 기타 사무</t>
        </is>
      </c>
    </row>
    <row r="8">
      <c r="A8" s="18" t="inlineStr">
        <is>
          <t>Q4</t>
        </is>
      </c>
      <c r="B8" s="18" t="inlineStr">
        <is>
          <t>결재·전결 처리에 쓰는 주당 시간 (자가 응답)</t>
        </is>
      </c>
      <c r="C8" s="18" t="inlineStr">
        <is>
          <t>숫자 (시간)</t>
        </is>
      </c>
      <c r="D8" s="18" t="inlineStr">
        <is>
          <t>—</t>
        </is>
      </c>
    </row>
    <row r="9">
      <c r="A9" s="18" t="inlineStr">
        <is>
          <t>Q5</t>
        </is>
      </c>
      <c r="B9" s="18" t="inlineStr">
        <is>
          <t>1순위 업무가 싫은 이유</t>
        </is>
      </c>
      <c r="C9" s="18" t="inlineStr">
        <is>
          <t>자유 응답</t>
        </is>
      </c>
      <c r="D9" s="18" t="inlineStr">
        <is>
          <t>—</t>
        </is>
      </c>
    </row>
    <row r="11">
      <c r="A11" s="16" t="inlineStr">
        <is>
          <t>선택지 설명</t>
        </is>
      </c>
    </row>
    <row r="12">
      <c r="A12" s="8" t="inlineStr">
        <is>
          <t>선택지</t>
        </is>
      </c>
      <c r="B12" s="8" t="inlineStr">
        <is>
          <t>뜻</t>
        </is>
      </c>
    </row>
    <row r="13">
      <c r="A13" s="9" t="inlineStr">
        <is>
          <t>처리 파악</t>
        </is>
      </c>
      <c r="B13" s="9" t="inlineStr">
        <is>
          <t>어떤 결재를 올려야 하는지, 양식·전결권자가 무엇인지 찾는 시간</t>
        </is>
      </c>
    </row>
    <row r="14">
      <c r="A14" s="9" t="inlineStr">
        <is>
          <t>증빙 준비</t>
        </is>
      </c>
      <c r="B14" s="9" t="inlineStr">
        <is>
          <t>영수증 정리·옮겨 적기, 합계 대조, 중복·한도 확인</t>
        </is>
      </c>
    </row>
    <row r="15">
      <c r="A15" s="9" t="inlineStr">
        <is>
          <t>문서 작성</t>
        </is>
      </c>
      <c r="B15" s="9" t="inlineStr">
        <is>
          <t>양식 항목 채우기, 메모 내용 옮기기</t>
        </is>
      </c>
    </row>
    <row r="16">
      <c r="A16" s="9" t="inlineStr">
        <is>
          <t>반려 후 재작성</t>
        </is>
      </c>
      <c r="B16" s="9" t="inlineStr">
        <is>
          <t>누락·한도 초과·증빙 문제로 반려되어 다시 쓰는 시간</t>
        </is>
      </c>
    </row>
    <row r="17">
      <c r="A17" s="9" t="inlineStr">
        <is>
          <t>진행 확인·문의</t>
        </is>
      </c>
      <c r="B17" s="9" t="inlineStr">
        <is>
          <t>결재가 어디까지 갔는지 확인하고 결재자에게 묻는 시간</t>
        </is>
      </c>
    </row>
    <row r="18">
      <c r="A18" s="9" t="inlineStr">
        <is>
          <t>결재 검토</t>
        </is>
      </c>
      <c r="B18" s="9" t="inlineStr">
        <is>
          <t>결재자가 대기 결재를 고르고 문서마다 규정·증빙을 확인하는 시간</t>
        </is>
      </c>
    </row>
    <row r="19">
      <c r="A19" s="9" t="inlineStr">
        <is>
          <t>기타 사무</t>
        </is>
      </c>
      <c r="B19" s="9" t="inlineStr">
        <is>
          <t>결재와 무관한 기타 사무(자료 정리, 일정 조율 등)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5" customWidth="1" min="4" max="4"/>
    <col width="15" customWidth="1" min="5" max="5"/>
    <col width="15" customWidth="1" min="6" max="6"/>
    <col width="14" customWidth="1" min="7" max="7"/>
    <col width="40" customWidth="1" min="8" max="8"/>
  </cols>
  <sheetData>
    <row r="1">
      <c r="A1" s="8" t="inlineStr">
        <is>
          <t>응답 ID</t>
        </is>
      </c>
      <c r="B1" s="8" t="inlineStr">
        <is>
          <t>부서</t>
        </is>
      </c>
      <c r="C1" s="8" t="inlineStr">
        <is>
          <t>직급군</t>
        </is>
      </c>
      <c r="D1" s="8" t="inlineStr">
        <is>
          <t>1순위 (Q1)</t>
        </is>
      </c>
      <c r="E1" s="8" t="inlineStr">
        <is>
          <t>2순위 (Q2)</t>
        </is>
      </c>
      <c r="F1" s="8" t="inlineStr">
        <is>
          <t>3순위 (Q3)</t>
        </is>
      </c>
      <c r="G1" s="8" t="inlineStr">
        <is>
          <t>주당 전결 처리 시간 (Q4)</t>
        </is>
      </c>
      <c r="H1" s="8" t="inlineStr">
        <is>
          <t>1순위 이유 (Q5)</t>
        </is>
      </c>
    </row>
    <row r="2">
      <c r="A2" s="19" t="inlineStr">
        <is>
          <t>S001</t>
        </is>
      </c>
      <c r="B2" s="19" t="inlineStr">
        <is>
          <t>연구1팀</t>
        </is>
      </c>
      <c r="C2" s="19" t="inlineStr">
        <is>
          <t>팀장 이상</t>
        </is>
      </c>
      <c r="D2" s="19" t="inlineStr">
        <is>
          <t>기타 사무</t>
        </is>
      </c>
      <c r="E2" s="19" t="inlineStr">
        <is>
          <t>결재 검토</t>
        </is>
      </c>
      <c r="F2" s="19" t="inlineStr">
        <is>
          <t>문서 작성</t>
        </is>
      </c>
      <c r="G2" s="20" t="n">
        <v>9.9</v>
      </c>
      <c r="H2" s="19" t="inlineStr">
        <is>
          <t>일정 조율</t>
        </is>
      </c>
    </row>
    <row r="3">
      <c r="A3" s="19" t="inlineStr">
        <is>
          <t>S002</t>
        </is>
      </c>
      <c r="B3" s="19" t="inlineStr">
        <is>
          <t>연구2팀</t>
        </is>
      </c>
      <c r="C3" s="19" t="inlineStr">
        <is>
          <t>사원</t>
        </is>
      </c>
      <c r="D3" s="19" t="inlineStr">
        <is>
          <t>진행 확인·문의</t>
        </is>
      </c>
      <c r="E3" s="19" t="inlineStr">
        <is>
          <t>증빙 준비</t>
        </is>
      </c>
      <c r="F3" s="19" t="inlineStr">
        <is>
          <t>처리 파악</t>
        </is>
      </c>
      <c r="G3" s="20" t="n">
        <v>7.7</v>
      </c>
      <c r="H3" s="19" t="inlineStr">
        <is>
          <t>결재자에게 따로 물어봐야 함</t>
        </is>
      </c>
    </row>
    <row r="4">
      <c r="A4" s="19" t="inlineStr">
        <is>
          <t>S003</t>
        </is>
      </c>
      <c r="B4" s="19" t="inlineStr">
        <is>
          <t>연구1팀</t>
        </is>
      </c>
      <c r="C4" s="19" t="inlineStr">
        <is>
          <t>선임</t>
        </is>
      </c>
      <c r="D4" s="19" t="inlineStr">
        <is>
          <t>문서 작성</t>
        </is>
      </c>
      <c r="E4" s="19" t="inlineStr">
        <is>
          <t>반려 후 재작성</t>
        </is>
      </c>
      <c r="F4" s="19" t="inlineStr">
        <is>
          <t>처리 파악</t>
        </is>
      </c>
      <c r="G4" s="20" t="n">
        <v>6.6</v>
      </c>
      <c r="H4" s="19" t="inlineStr">
        <is>
          <t>양식 항목이 많음</t>
        </is>
      </c>
    </row>
    <row r="5">
      <c r="A5" s="19" t="inlineStr">
        <is>
          <t>S004</t>
        </is>
      </c>
      <c r="B5" s="19" t="inlineStr">
        <is>
          <t>연구2팀</t>
        </is>
      </c>
      <c r="C5" s="19" t="inlineStr">
        <is>
          <t>책임</t>
        </is>
      </c>
      <c r="D5" s="19" t="inlineStr">
        <is>
          <t>진행 확인·문의</t>
        </is>
      </c>
      <c r="E5" s="19" t="inlineStr">
        <is>
          <t>증빙 준비</t>
        </is>
      </c>
      <c r="F5" s="19" t="inlineStr">
        <is>
          <t>문서 작성</t>
        </is>
      </c>
      <c r="G5" s="20" t="n">
        <v>5.5</v>
      </c>
      <c r="H5" s="19" t="inlineStr">
        <is>
          <t>결재자에게 따로 물어봐야 함</t>
        </is>
      </c>
    </row>
    <row r="6">
      <c r="A6" s="19" t="inlineStr">
        <is>
          <t>S005</t>
        </is>
      </c>
      <c r="B6" s="19" t="inlineStr">
        <is>
          <t>경영지원팀</t>
        </is>
      </c>
      <c r="C6" s="19" t="inlineStr">
        <is>
          <t>선임</t>
        </is>
      </c>
      <c r="D6" s="19" t="inlineStr">
        <is>
          <t>증빙 준비</t>
        </is>
      </c>
      <c r="E6" s="19" t="inlineStr">
        <is>
          <t>반려 후 재작성</t>
        </is>
      </c>
      <c r="F6" s="19" t="inlineStr">
        <is>
          <t>문서 작성</t>
        </is>
      </c>
      <c r="G6" s="20" t="n">
        <v>9</v>
      </c>
      <c r="H6" s="19" t="inlineStr">
        <is>
          <t>합계 맞추기가 번거로움</t>
        </is>
      </c>
    </row>
    <row r="7">
      <c r="A7" s="19" t="inlineStr">
        <is>
          <t>S006</t>
        </is>
      </c>
      <c r="B7" s="19" t="inlineStr">
        <is>
          <t>연구2팀</t>
        </is>
      </c>
      <c r="C7" s="19" t="inlineStr">
        <is>
          <t>사원</t>
        </is>
      </c>
      <c r="D7" s="19" t="inlineStr">
        <is>
          <t>증빙 준비</t>
        </is>
      </c>
      <c r="E7" s="19" t="inlineStr">
        <is>
          <t>반려 후 재작성</t>
        </is>
      </c>
      <c r="F7" s="19" t="inlineStr">
        <is>
          <t>문서 작성</t>
        </is>
      </c>
      <c r="G7" s="20" t="n">
        <v>6.9</v>
      </c>
      <c r="H7" s="19" t="inlineStr">
        <is>
          <t>영수증 분실·흐림</t>
        </is>
      </c>
    </row>
    <row r="8">
      <c r="A8" s="19" t="inlineStr">
        <is>
          <t>S007</t>
        </is>
      </c>
      <c r="B8" s="19" t="inlineStr">
        <is>
          <t>연구2팀</t>
        </is>
      </c>
      <c r="C8" s="19" t="inlineStr">
        <is>
          <t>팀장 이상</t>
        </is>
      </c>
      <c r="D8" s="19" t="inlineStr">
        <is>
          <t>반려 후 재작성</t>
        </is>
      </c>
      <c r="E8" s="19" t="inlineStr">
        <is>
          <t>결재 검토</t>
        </is>
      </c>
      <c r="F8" s="19" t="inlineStr">
        <is>
          <t>문서 작성</t>
        </is>
      </c>
      <c r="G8" s="20" t="n">
        <v>9.300000000000001</v>
      </c>
      <c r="H8" s="19" t="inlineStr">
        <is>
          <t>사소한 누락으로 반려됨</t>
        </is>
      </c>
    </row>
    <row r="9">
      <c r="A9" s="19" t="inlineStr">
        <is>
          <t>S008</t>
        </is>
      </c>
      <c r="B9" s="19" t="inlineStr">
        <is>
          <t>경영지원팀</t>
        </is>
      </c>
      <c r="C9" s="19" t="inlineStr">
        <is>
          <t>팀장 이상</t>
        </is>
      </c>
      <c r="D9" s="19" t="inlineStr">
        <is>
          <t>결재 검토</t>
        </is>
      </c>
      <c r="E9" s="19" t="inlineStr">
        <is>
          <t>반려 후 재작성</t>
        </is>
      </c>
      <c r="F9" s="19" t="inlineStr">
        <is>
          <t>문서 작성</t>
        </is>
      </c>
      <c r="G9" s="20" t="n">
        <v>7.2</v>
      </c>
      <c r="H9" s="19" t="inlineStr">
        <is>
          <t>결재가 한꺼번에 몰림</t>
        </is>
      </c>
    </row>
    <row r="10">
      <c r="A10" s="19" t="inlineStr">
        <is>
          <t>S009</t>
        </is>
      </c>
      <c r="B10" s="19" t="inlineStr">
        <is>
          <t>경영지원팀</t>
        </is>
      </c>
      <c r="C10" s="19" t="inlineStr">
        <is>
          <t>책임</t>
        </is>
      </c>
      <c r="D10" s="19" t="inlineStr">
        <is>
          <t>결재 검토</t>
        </is>
      </c>
      <c r="E10" s="19" t="inlineStr">
        <is>
          <t>반려 후 재작성</t>
        </is>
      </c>
      <c r="F10" s="19" t="inlineStr">
        <is>
          <t>처리 파악</t>
        </is>
      </c>
      <c r="G10" s="20" t="n">
        <v>7</v>
      </c>
      <c r="H10" s="19" t="inlineStr">
        <is>
          <t>결재가 한꺼번에 몰림</t>
        </is>
      </c>
    </row>
    <row r="11">
      <c r="A11" s="19" t="inlineStr">
        <is>
          <t>S010</t>
        </is>
      </c>
      <c r="B11" s="19" t="inlineStr">
        <is>
          <t>연구2팀</t>
        </is>
      </c>
      <c r="C11" s="19" t="inlineStr">
        <is>
          <t>책임</t>
        </is>
      </c>
      <c r="D11" s="19" t="inlineStr">
        <is>
          <t>증빙 준비</t>
        </is>
      </c>
      <c r="E11" s="19" t="inlineStr">
        <is>
          <t>반려 후 재작성</t>
        </is>
      </c>
      <c r="F11" s="19" t="inlineStr">
        <is>
          <t>처리 파악</t>
        </is>
      </c>
      <c r="G11" s="20" t="n">
        <v>8.300000000000001</v>
      </c>
      <c r="H11" s="19" t="inlineStr">
        <is>
          <t>영수증 하나하나 옮겨 적기</t>
        </is>
      </c>
    </row>
    <row r="12">
      <c r="A12" s="19" t="inlineStr">
        <is>
          <t>S011</t>
        </is>
      </c>
      <c r="B12" s="19" t="inlineStr">
        <is>
          <t>경영지원팀</t>
        </is>
      </c>
      <c r="C12" s="19" t="inlineStr">
        <is>
          <t>사원</t>
        </is>
      </c>
      <c r="D12" s="19" t="inlineStr">
        <is>
          <t>반려 후 재작성</t>
        </is>
      </c>
      <c r="E12" s="19" t="inlineStr">
        <is>
          <t>처리 파악</t>
        </is>
      </c>
      <c r="F12" s="19" t="inlineStr">
        <is>
          <t>문서 작성</t>
        </is>
      </c>
      <c r="G12" s="20" t="n">
        <v>5.7</v>
      </c>
      <c r="H12" s="19" t="inlineStr">
        <is>
          <t>사소한 누락으로 반려됨</t>
        </is>
      </c>
    </row>
    <row r="13">
      <c r="A13" s="19" t="inlineStr">
        <is>
          <t>S012</t>
        </is>
      </c>
      <c r="B13" s="19" t="inlineStr">
        <is>
          <t>연구2팀</t>
        </is>
      </c>
      <c r="C13" s="19" t="inlineStr">
        <is>
          <t>책임</t>
        </is>
      </c>
      <c r="D13" s="19" t="inlineStr">
        <is>
          <t>반려 후 재작성</t>
        </is>
      </c>
      <c r="E13" s="19" t="inlineStr">
        <is>
          <t>문서 작성</t>
        </is>
      </c>
      <c r="F13" s="19" t="inlineStr">
        <is>
          <t>처리 파악</t>
        </is>
      </c>
      <c r="G13" s="20" t="n">
        <v>7.3</v>
      </c>
      <c r="H13" s="19" t="inlineStr">
        <is>
          <t>사소한 누락으로 반려됨</t>
        </is>
      </c>
    </row>
    <row r="14">
      <c r="A14" s="19" t="inlineStr">
        <is>
          <t>S013</t>
        </is>
      </c>
      <c r="B14" s="19" t="inlineStr">
        <is>
          <t>연구1팀</t>
        </is>
      </c>
      <c r="C14" s="19" t="inlineStr">
        <is>
          <t>선임</t>
        </is>
      </c>
      <c r="D14" s="19" t="inlineStr">
        <is>
          <t>반려 후 재작성</t>
        </is>
      </c>
      <c r="E14" s="19" t="inlineStr">
        <is>
          <t>증빙 준비</t>
        </is>
      </c>
      <c r="F14" s="19" t="inlineStr">
        <is>
          <t>기타 사무</t>
        </is>
      </c>
      <c r="G14" s="20" t="n">
        <v>6</v>
      </c>
      <c r="H14" s="19" t="inlineStr">
        <is>
          <t>사소한 누락으로 반려됨</t>
        </is>
      </c>
    </row>
    <row r="15">
      <c r="A15" s="19" t="inlineStr">
        <is>
          <t>S014</t>
        </is>
      </c>
      <c r="B15" s="19" t="inlineStr">
        <is>
          <t>연구1팀</t>
        </is>
      </c>
      <c r="C15" s="19" t="inlineStr">
        <is>
          <t>책임</t>
        </is>
      </c>
      <c r="D15" s="19" t="inlineStr">
        <is>
          <t>증빙 준비</t>
        </is>
      </c>
      <c r="E15" s="19" t="inlineStr">
        <is>
          <t>진행 확인·문의</t>
        </is>
      </c>
      <c r="F15" s="19" t="inlineStr">
        <is>
          <t>처리 파악</t>
        </is>
      </c>
      <c r="G15" s="20" t="n">
        <v>5.1</v>
      </c>
      <c r="H15" s="19" t="inlineStr">
        <is>
          <t>영수증 분실·흐림</t>
        </is>
      </c>
    </row>
    <row r="16">
      <c r="A16" s="19" t="inlineStr">
        <is>
          <t>S015</t>
        </is>
      </c>
      <c r="B16" s="19" t="inlineStr">
        <is>
          <t>연구1팀</t>
        </is>
      </c>
      <c r="C16" s="19" t="inlineStr">
        <is>
          <t>선임</t>
        </is>
      </c>
      <c r="D16" s="19" t="inlineStr">
        <is>
          <t>증빙 준비</t>
        </is>
      </c>
      <c r="E16" s="19" t="inlineStr">
        <is>
          <t>반려 후 재작성</t>
        </is>
      </c>
      <c r="F16" s="19" t="inlineStr">
        <is>
          <t>기타 사무</t>
        </is>
      </c>
      <c r="G16" s="20" t="n">
        <v>7</v>
      </c>
      <c r="H16" s="19" t="inlineStr">
        <is>
          <t>영수증 분실·흐림</t>
        </is>
      </c>
    </row>
    <row r="17">
      <c r="A17" s="19" t="inlineStr">
        <is>
          <t>S016</t>
        </is>
      </c>
      <c r="B17" s="19" t="inlineStr">
        <is>
          <t>연구1팀</t>
        </is>
      </c>
      <c r="C17" s="19" t="inlineStr">
        <is>
          <t>선임</t>
        </is>
      </c>
      <c r="D17" s="19" t="inlineStr">
        <is>
          <t>증빙 준비</t>
        </is>
      </c>
      <c r="E17" s="19" t="inlineStr">
        <is>
          <t>문서 작성</t>
        </is>
      </c>
      <c r="F17" s="19" t="inlineStr">
        <is>
          <t>진행 확인·문의</t>
        </is>
      </c>
      <c r="G17" s="20" t="n">
        <v>4.2</v>
      </c>
      <c r="H17" s="19" t="inlineStr">
        <is>
          <t>영수증 분실·흐림</t>
        </is>
      </c>
    </row>
    <row r="18">
      <c r="A18" s="19" t="inlineStr">
        <is>
          <t>S017</t>
        </is>
      </c>
      <c r="B18" s="19" t="inlineStr">
        <is>
          <t>연구2팀</t>
        </is>
      </c>
      <c r="C18" s="19" t="inlineStr">
        <is>
          <t>책임</t>
        </is>
      </c>
      <c r="D18" s="19" t="inlineStr">
        <is>
          <t>증빙 준비</t>
        </is>
      </c>
      <c r="E18" s="19" t="inlineStr">
        <is>
          <t>결재 검토</t>
        </is>
      </c>
      <c r="F18" s="19" t="inlineStr">
        <is>
          <t>반려 후 재작성</t>
        </is>
      </c>
      <c r="G18" s="20" t="n">
        <v>8</v>
      </c>
      <c r="H18" s="19" t="inlineStr">
        <is>
          <t>합계 맞추기가 번거로움</t>
        </is>
      </c>
    </row>
    <row r="19">
      <c r="A19" s="19" t="inlineStr">
        <is>
          <t>S018</t>
        </is>
      </c>
      <c r="B19" s="19" t="inlineStr">
        <is>
          <t>연구2팀</t>
        </is>
      </c>
      <c r="C19" s="19" t="inlineStr">
        <is>
          <t>사원</t>
        </is>
      </c>
      <c r="D19" s="19" t="inlineStr">
        <is>
          <t>진행 확인·문의</t>
        </is>
      </c>
      <c r="E19" s="19" t="inlineStr">
        <is>
          <t>문서 작성</t>
        </is>
      </c>
      <c r="F19" s="19" t="inlineStr">
        <is>
          <t>증빙 준비</t>
        </is>
      </c>
      <c r="G19" s="20" t="n">
        <v>7.1</v>
      </c>
      <c r="H19" s="19" t="inlineStr">
        <is>
          <t>결재자에게 따로 물어봐야 함</t>
        </is>
      </c>
    </row>
    <row r="20">
      <c r="A20" s="19" t="inlineStr">
        <is>
          <t>S019</t>
        </is>
      </c>
      <c r="B20" s="19" t="inlineStr">
        <is>
          <t>경영지원팀</t>
        </is>
      </c>
      <c r="C20" s="19" t="inlineStr">
        <is>
          <t>선임</t>
        </is>
      </c>
      <c r="D20" s="19" t="inlineStr">
        <is>
          <t>처리 파악</t>
        </is>
      </c>
      <c r="E20" s="19" t="inlineStr">
        <is>
          <t>반려 후 재작성</t>
        </is>
      </c>
      <c r="F20" s="19" t="inlineStr">
        <is>
          <t>문서 작성</t>
        </is>
      </c>
      <c r="G20" s="20" t="n">
        <v>3.2</v>
      </c>
      <c r="H20" s="19" t="inlineStr">
        <is>
          <t>전결권자가 헷갈림</t>
        </is>
      </c>
    </row>
    <row r="21">
      <c r="A21" s="19" t="inlineStr">
        <is>
          <t>S020</t>
        </is>
      </c>
      <c r="B21" s="19" t="inlineStr">
        <is>
          <t>경영지원팀</t>
        </is>
      </c>
      <c r="C21" s="19" t="inlineStr">
        <is>
          <t>사원</t>
        </is>
      </c>
      <c r="D21" s="19" t="inlineStr">
        <is>
          <t>증빙 준비</t>
        </is>
      </c>
      <c r="E21" s="19" t="inlineStr">
        <is>
          <t>기타 사무</t>
        </is>
      </c>
      <c r="F21" s="19" t="inlineStr">
        <is>
          <t>진행 확인·문의</t>
        </is>
      </c>
      <c r="G21" s="20" t="n">
        <v>5.1</v>
      </c>
      <c r="H21" s="19" t="inlineStr">
        <is>
          <t>합계 맞추기가 번거로움</t>
        </is>
      </c>
    </row>
    <row r="22">
      <c r="A22" s="19" t="inlineStr">
        <is>
          <t>S021</t>
        </is>
      </c>
      <c r="B22" s="19" t="inlineStr">
        <is>
          <t>연구1팀</t>
        </is>
      </c>
      <c r="C22" s="19" t="inlineStr">
        <is>
          <t>팀장 이상</t>
        </is>
      </c>
      <c r="D22" s="19" t="inlineStr">
        <is>
          <t>증빙 준비</t>
        </is>
      </c>
      <c r="E22" s="19" t="inlineStr">
        <is>
          <t>결재 검토</t>
        </is>
      </c>
      <c r="F22" s="19" t="inlineStr">
        <is>
          <t>진행 확인·문의</t>
        </is>
      </c>
      <c r="G22" s="20" t="n">
        <v>9.1</v>
      </c>
      <c r="H22" s="19" t="inlineStr">
        <is>
          <t>영수증 하나하나 옮겨 적기</t>
        </is>
      </c>
    </row>
    <row r="23">
      <c r="A23" s="19" t="inlineStr">
        <is>
          <t>S022</t>
        </is>
      </c>
      <c r="B23" s="19" t="inlineStr">
        <is>
          <t>경영지원팀</t>
        </is>
      </c>
      <c r="C23" s="19" t="inlineStr">
        <is>
          <t>사원</t>
        </is>
      </c>
      <c r="D23" s="19" t="inlineStr">
        <is>
          <t>기타 사무</t>
        </is>
      </c>
      <c r="E23" s="19" t="inlineStr">
        <is>
          <t>진행 확인·문의</t>
        </is>
      </c>
      <c r="F23" s="19" t="inlineStr">
        <is>
          <t>증빙 준비</t>
        </is>
      </c>
      <c r="G23" s="20" t="n">
        <v>8.6</v>
      </c>
      <c r="H23" s="19" t="inlineStr">
        <is>
          <t>일정 조율</t>
        </is>
      </c>
    </row>
    <row r="24">
      <c r="A24" s="19" t="inlineStr">
        <is>
          <t>S023</t>
        </is>
      </c>
      <c r="B24" s="19" t="inlineStr">
        <is>
          <t>연구1팀</t>
        </is>
      </c>
      <c r="C24" s="19" t="inlineStr">
        <is>
          <t>선임</t>
        </is>
      </c>
      <c r="D24" s="19" t="inlineStr">
        <is>
          <t>증빙 준비</t>
        </is>
      </c>
      <c r="E24" s="19" t="inlineStr">
        <is>
          <t>진행 확인·문의</t>
        </is>
      </c>
      <c r="F24" s="19" t="inlineStr">
        <is>
          <t>처리 파악</t>
        </is>
      </c>
      <c r="G24" s="20" t="n">
        <v>5.9</v>
      </c>
      <c r="H24" s="19" t="inlineStr">
        <is>
          <t>영수증 분실·흐림</t>
        </is>
      </c>
    </row>
    <row r="25">
      <c r="A25" s="19" t="inlineStr">
        <is>
          <t>S024</t>
        </is>
      </c>
      <c r="B25" s="19" t="inlineStr">
        <is>
          <t>연구1팀</t>
        </is>
      </c>
      <c r="C25" s="19" t="inlineStr">
        <is>
          <t>사원</t>
        </is>
      </c>
      <c r="D25" s="19" t="inlineStr">
        <is>
          <t>처리 파악</t>
        </is>
      </c>
      <c r="E25" s="19" t="inlineStr">
        <is>
          <t>증빙 준비</t>
        </is>
      </c>
      <c r="F25" s="19" t="inlineStr">
        <is>
          <t>문서 작성</t>
        </is>
      </c>
      <c r="G25" s="20" t="n">
        <v>4.9</v>
      </c>
      <c r="H25" s="19" t="inlineStr">
        <is>
          <t>전결권자가 헷갈림</t>
        </is>
      </c>
    </row>
    <row r="26">
      <c r="A26" s="19" t="inlineStr">
        <is>
          <t>S025</t>
        </is>
      </c>
      <c r="B26" s="19" t="inlineStr">
        <is>
          <t>연구1팀</t>
        </is>
      </c>
      <c r="C26" s="19" t="inlineStr">
        <is>
          <t>책임</t>
        </is>
      </c>
      <c r="D26" s="19" t="inlineStr">
        <is>
          <t>증빙 준비</t>
        </is>
      </c>
      <c r="E26" s="19" t="inlineStr">
        <is>
          <t>문서 작성</t>
        </is>
      </c>
      <c r="F26" s="19" t="inlineStr">
        <is>
          <t>결재 검토</t>
        </is>
      </c>
      <c r="G26" s="20" t="n">
        <v>7.3</v>
      </c>
      <c r="H26" s="19" t="inlineStr">
        <is>
          <t>영수증 하나하나 옮겨 적기</t>
        </is>
      </c>
    </row>
    <row r="27">
      <c r="A27" s="19" t="inlineStr">
        <is>
          <t>S026</t>
        </is>
      </c>
      <c r="B27" s="19" t="inlineStr">
        <is>
          <t>연구1팀</t>
        </is>
      </c>
      <c r="C27" s="19" t="inlineStr">
        <is>
          <t>사원</t>
        </is>
      </c>
      <c r="D27" s="19" t="inlineStr">
        <is>
          <t>처리 파악</t>
        </is>
      </c>
      <c r="E27" s="19" t="inlineStr">
        <is>
          <t>문서 작성</t>
        </is>
      </c>
      <c r="F27" s="19" t="inlineStr">
        <is>
          <t>진행 확인·문의</t>
        </is>
      </c>
      <c r="G27" s="20" t="n">
        <v>6.8</v>
      </c>
      <c r="H27" s="19" t="inlineStr">
        <is>
          <t>전결권자가 헷갈림</t>
        </is>
      </c>
    </row>
    <row r="28">
      <c r="A28" s="19" t="inlineStr">
        <is>
          <t>S027</t>
        </is>
      </c>
      <c r="B28" s="19" t="inlineStr">
        <is>
          <t>연구2팀</t>
        </is>
      </c>
      <c r="C28" s="19" t="inlineStr">
        <is>
          <t>선임</t>
        </is>
      </c>
      <c r="D28" s="19" t="inlineStr">
        <is>
          <t>증빙 준비</t>
        </is>
      </c>
      <c r="E28" s="19" t="inlineStr">
        <is>
          <t>문서 작성</t>
        </is>
      </c>
      <c r="F28" s="19" t="inlineStr">
        <is>
          <t>반려 후 재작성</t>
        </is>
      </c>
      <c r="G28" s="20" t="n">
        <v>5.3</v>
      </c>
      <c r="H28" s="19" t="inlineStr">
        <is>
          <t>영수증 하나하나 옮겨 적기</t>
        </is>
      </c>
    </row>
    <row r="29">
      <c r="A29" s="19" t="inlineStr">
        <is>
          <t>S028</t>
        </is>
      </c>
      <c r="B29" s="19" t="inlineStr">
        <is>
          <t>경영지원팀</t>
        </is>
      </c>
      <c r="C29" s="19" t="inlineStr">
        <is>
          <t>팀장 이상</t>
        </is>
      </c>
      <c r="D29" s="19" t="inlineStr">
        <is>
          <t>문서 작성</t>
        </is>
      </c>
      <c r="E29" s="19" t="inlineStr">
        <is>
          <t>결재 검토</t>
        </is>
      </c>
      <c r="F29" s="19" t="inlineStr">
        <is>
          <t>진행 확인·문의</t>
        </is>
      </c>
      <c r="G29" s="20" t="n">
        <v>6.4</v>
      </c>
      <c r="H29" s="19" t="inlineStr">
        <is>
          <t>메모를 다시 옮겨 써야 함</t>
        </is>
      </c>
    </row>
    <row r="30">
      <c r="A30" s="19" t="inlineStr">
        <is>
          <t>S029</t>
        </is>
      </c>
      <c r="B30" s="19" t="inlineStr">
        <is>
          <t>연구2팀</t>
        </is>
      </c>
      <c r="C30" s="19" t="inlineStr">
        <is>
          <t>선임</t>
        </is>
      </c>
      <c r="D30" s="19" t="inlineStr">
        <is>
          <t>증빙 준비</t>
        </is>
      </c>
      <c r="E30" s="19" t="inlineStr">
        <is>
          <t>문서 작성</t>
        </is>
      </c>
      <c r="F30" s="19" t="inlineStr">
        <is>
          <t>진행 확인·문의</t>
        </is>
      </c>
      <c r="G30" s="20" t="n">
        <v>6.9</v>
      </c>
      <c r="H30" s="19" t="inlineStr">
        <is>
          <t>합계 맞추기가 번거로움</t>
        </is>
      </c>
    </row>
    <row r="31">
      <c r="A31" s="19" t="inlineStr">
        <is>
          <t>S030</t>
        </is>
      </c>
      <c r="B31" s="19" t="inlineStr">
        <is>
          <t>시험평가팀</t>
        </is>
      </c>
      <c r="C31" s="19" t="inlineStr">
        <is>
          <t>책임</t>
        </is>
      </c>
      <c r="D31" s="19" t="inlineStr">
        <is>
          <t>처리 파악</t>
        </is>
      </c>
      <c r="E31" s="19" t="inlineStr">
        <is>
          <t>증빙 준비</t>
        </is>
      </c>
      <c r="F31" s="19" t="inlineStr">
        <is>
          <t>문서 작성</t>
        </is>
      </c>
      <c r="G31" s="20" t="n">
        <v>7.7</v>
      </c>
      <c r="H31" s="19" t="inlineStr">
        <is>
          <t>어떤 결재를 올려야 하는지 매번 찾아봐야 함</t>
        </is>
      </c>
    </row>
    <row r="32">
      <c r="A32" s="19" t="inlineStr">
        <is>
          <t>S031</t>
        </is>
      </c>
      <c r="B32" s="19" t="inlineStr">
        <is>
          <t>시험평가팀</t>
        </is>
      </c>
      <c r="C32" s="19" t="inlineStr">
        <is>
          <t>사원</t>
        </is>
      </c>
      <c r="D32" s="19" t="inlineStr">
        <is>
          <t>문서 작성</t>
        </is>
      </c>
      <c r="E32" s="19" t="inlineStr">
        <is>
          <t>증빙 준비</t>
        </is>
      </c>
      <c r="F32" s="19" t="inlineStr">
        <is>
          <t>반려 후 재작성</t>
        </is>
      </c>
      <c r="G32" s="20" t="n">
        <v>8.699999999999999</v>
      </c>
      <c r="H32" s="19" t="inlineStr">
        <is>
          <t>양식 항목이 많음</t>
        </is>
      </c>
    </row>
    <row r="33">
      <c r="A33" s="19" t="inlineStr">
        <is>
          <t>S032</t>
        </is>
      </c>
      <c r="B33" s="19" t="inlineStr">
        <is>
          <t>연구2팀</t>
        </is>
      </c>
      <c r="C33" s="19" t="inlineStr">
        <is>
          <t>책임</t>
        </is>
      </c>
      <c r="D33" s="19" t="inlineStr">
        <is>
          <t>문서 작성</t>
        </is>
      </c>
      <c r="E33" s="19" t="inlineStr">
        <is>
          <t>처리 파악</t>
        </is>
      </c>
      <c r="F33" s="19" t="inlineStr">
        <is>
          <t>반려 후 재작성</t>
        </is>
      </c>
      <c r="G33" s="20" t="n">
        <v>5.3</v>
      </c>
      <c r="H33" s="19" t="inlineStr">
        <is>
          <t>양식 항목이 많음</t>
        </is>
      </c>
    </row>
    <row r="34">
      <c r="A34" s="19" t="inlineStr">
        <is>
          <t>S033</t>
        </is>
      </c>
      <c r="B34" s="19" t="inlineStr">
        <is>
          <t>연구1팀</t>
        </is>
      </c>
      <c r="C34" s="19" t="inlineStr">
        <is>
          <t>선임</t>
        </is>
      </c>
      <c r="D34" s="19" t="inlineStr">
        <is>
          <t>진행 확인·문의</t>
        </is>
      </c>
      <c r="E34" s="19" t="inlineStr">
        <is>
          <t>문서 작성</t>
        </is>
      </c>
      <c r="F34" s="19" t="inlineStr">
        <is>
          <t>처리 파악</t>
        </is>
      </c>
      <c r="G34" s="20" t="n">
        <v>4.2</v>
      </c>
      <c r="H34" s="19" t="inlineStr">
        <is>
          <t>결재자에게 따로 물어봐야 함</t>
        </is>
      </c>
    </row>
    <row r="35">
      <c r="A35" s="19" t="inlineStr">
        <is>
          <t>S034</t>
        </is>
      </c>
      <c r="B35" s="19" t="inlineStr">
        <is>
          <t>연구1팀</t>
        </is>
      </c>
      <c r="C35" s="19" t="inlineStr">
        <is>
          <t>선임</t>
        </is>
      </c>
      <c r="D35" s="19" t="inlineStr">
        <is>
          <t>처리 파악</t>
        </is>
      </c>
      <c r="E35" s="19" t="inlineStr">
        <is>
          <t>증빙 준비</t>
        </is>
      </c>
      <c r="F35" s="19" t="inlineStr">
        <is>
          <t>반려 후 재작성</t>
        </is>
      </c>
      <c r="G35" s="20" t="n">
        <v>8.1</v>
      </c>
      <c r="H35" s="19" t="inlineStr">
        <is>
          <t>어떤 결재를 올려야 하는지 매번 찾아봐야 함</t>
        </is>
      </c>
    </row>
    <row r="36">
      <c r="A36" s="19" t="inlineStr">
        <is>
          <t>S035</t>
        </is>
      </c>
      <c r="B36" s="19" t="inlineStr">
        <is>
          <t>경영지원팀</t>
        </is>
      </c>
      <c r="C36" s="19" t="inlineStr">
        <is>
          <t>사원</t>
        </is>
      </c>
      <c r="D36" s="19" t="inlineStr">
        <is>
          <t>처리 파악</t>
        </is>
      </c>
      <c r="E36" s="19" t="inlineStr">
        <is>
          <t>증빙 준비</t>
        </is>
      </c>
      <c r="F36" s="19" t="inlineStr">
        <is>
          <t>문서 작성</t>
        </is>
      </c>
      <c r="G36" s="20" t="n">
        <v>7.9</v>
      </c>
      <c r="H36" s="19" t="inlineStr">
        <is>
          <t>전결권자가 헷갈림</t>
        </is>
      </c>
    </row>
    <row r="37">
      <c r="A37" s="19" t="inlineStr">
        <is>
          <t>S036</t>
        </is>
      </c>
      <c r="B37" s="19" t="inlineStr">
        <is>
          <t>연구1팀</t>
        </is>
      </c>
      <c r="C37" s="19" t="inlineStr">
        <is>
          <t>선임</t>
        </is>
      </c>
      <c r="D37" s="19" t="inlineStr">
        <is>
          <t>문서 작성</t>
        </is>
      </c>
      <c r="E37" s="19" t="inlineStr">
        <is>
          <t>반려 후 재작성</t>
        </is>
      </c>
      <c r="F37" s="19" t="inlineStr">
        <is>
          <t>증빙 준비</t>
        </is>
      </c>
      <c r="G37" s="20" t="n">
        <v>7.6</v>
      </c>
      <c r="H37" s="19" t="inlineStr">
        <is>
          <t>양식 항목이 많음</t>
        </is>
      </c>
    </row>
    <row r="38">
      <c r="A38" s="19" t="inlineStr">
        <is>
          <t>S037</t>
        </is>
      </c>
      <c r="B38" s="19" t="inlineStr">
        <is>
          <t>연구1팀</t>
        </is>
      </c>
      <c r="C38" s="19" t="inlineStr">
        <is>
          <t>선임</t>
        </is>
      </c>
      <c r="D38" s="19" t="inlineStr">
        <is>
          <t>진행 확인·문의</t>
        </is>
      </c>
      <c r="E38" s="19" t="inlineStr">
        <is>
          <t>문서 작성</t>
        </is>
      </c>
      <c r="F38" s="19" t="inlineStr">
        <is>
          <t>증빙 준비</t>
        </is>
      </c>
      <c r="G38" s="20" t="n">
        <v>8.300000000000001</v>
      </c>
      <c r="H38" s="19" t="inlineStr">
        <is>
          <t>결재자에게 따로 물어봐야 함</t>
        </is>
      </c>
    </row>
    <row r="39">
      <c r="A39" s="19" t="inlineStr">
        <is>
          <t>S038</t>
        </is>
      </c>
      <c r="B39" s="19" t="inlineStr">
        <is>
          <t>시험평가팀</t>
        </is>
      </c>
      <c r="C39" s="19" t="inlineStr">
        <is>
          <t>책임</t>
        </is>
      </c>
      <c r="D39" s="19" t="inlineStr">
        <is>
          <t>반려 후 재작성</t>
        </is>
      </c>
      <c r="E39" s="19" t="inlineStr">
        <is>
          <t>증빙 준비</t>
        </is>
      </c>
      <c r="F39" s="19" t="inlineStr">
        <is>
          <t>진행 확인·문의</t>
        </is>
      </c>
      <c r="G39" s="20" t="n">
        <v>4.9</v>
      </c>
      <c r="H39" s="19" t="inlineStr">
        <is>
          <t>반려 사유를 늦게 알게 됨</t>
        </is>
      </c>
    </row>
    <row r="40">
      <c r="A40" s="19" t="inlineStr">
        <is>
          <t>S039</t>
        </is>
      </c>
      <c r="B40" s="19" t="inlineStr">
        <is>
          <t>연구2팀</t>
        </is>
      </c>
      <c r="C40" s="19" t="inlineStr">
        <is>
          <t>선임</t>
        </is>
      </c>
      <c r="D40" s="19" t="inlineStr">
        <is>
          <t>문서 작성</t>
        </is>
      </c>
      <c r="E40" s="19" t="inlineStr">
        <is>
          <t>기타 사무</t>
        </is>
      </c>
      <c r="F40" s="19" t="inlineStr">
        <is>
          <t>반려 후 재작성</t>
        </is>
      </c>
      <c r="G40" s="20" t="n">
        <v>5.7</v>
      </c>
      <c r="H40" s="19" t="inlineStr">
        <is>
          <t>양식 항목이 많음</t>
        </is>
      </c>
    </row>
    <row r="41">
      <c r="A41" s="19" t="inlineStr">
        <is>
          <t>S040</t>
        </is>
      </c>
      <c r="B41" s="19" t="inlineStr">
        <is>
          <t>연구1팀</t>
        </is>
      </c>
      <c r="C41" s="19" t="inlineStr">
        <is>
          <t>선임</t>
        </is>
      </c>
      <c r="D41" s="19" t="inlineStr">
        <is>
          <t>문서 작성</t>
        </is>
      </c>
      <c r="E41" s="19" t="inlineStr">
        <is>
          <t>증빙 준비</t>
        </is>
      </c>
      <c r="F41" s="19" t="inlineStr">
        <is>
          <t>반려 후 재작성</t>
        </is>
      </c>
      <c r="G41" s="20" t="n">
        <v>8.300000000000001</v>
      </c>
      <c r="H41" s="19" t="inlineStr">
        <is>
          <t>메모를 다시 옮겨 써야 함</t>
        </is>
      </c>
    </row>
    <row r="42">
      <c r="A42" s="19" t="inlineStr">
        <is>
          <t>S041</t>
        </is>
      </c>
      <c r="B42" s="19" t="inlineStr">
        <is>
          <t>시험평가팀</t>
        </is>
      </c>
      <c r="C42" s="19" t="inlineStr">
        <is>
          <t>사원</t>
        </is>
      </c>
      <c r="D42" s="19" t="inlineStr">
        <is>
          <t>반려 후 재작성</t>
        </is>
      </c>
      <c r="E42" s="19" t="inlineStr">
        <is>
          <t>증빙 준비</t>
        </is>
      </c>
      <c r="F42" s="19" t="inlineStr">
        <is>
          <t>처리 파악</t>
        </is>
      </c>
      <c r="G42" s="20" t="n">
        <v>6.7</v>
      </c>
      <c r="H42" s="19" t="inlineStr">
        <is>
          <t>반려 사유를 늦게 알게 됨</t>
        </is>
      </c>
    </row>
    <row r="43">
      <c r="A43" s="19" t="inlineStr">
        <is>
          <t>S042</t>
        </is>
      </c>
      <c r="B43" s="19" t="inlineStr">
        <is>
          <t>시험평가팀</t>
        </is>
      </c>
      <c r="C43" s="19" t="inlineStr">
        <is>
          <t>수석</t>
        </is>
      </c>
      <c r="D43" s="19" t="inlineStr">
        <is>
          <t>결재 검토</t>
        </is>
      </c>
      <c r="E43" s="19" t="inlineStr">
        <is>
          <t>증빙 준비</t>
        </is>
      </c>
      <c r="F43" s="19" t="inlineStr">
        <is>
          <t>문서 작성</t>
        </is>
      </c>
      <c r="G43" s="20" t="n">
        <v>8.4</v>
      </c>
      <c r="H43" s="19" t="inlineStr">
        <is>
          <t>문서마다 규정을 다시 확인</t>
        </is>
      </c>
    </row>
    <row r="44">
      <c r="A44" s="19" t="inlineStr">
        <is>
          <t>S043</t>
        </is>
      </c>
      <c r="B44" s="19" t="inlineStr">
        <is>
          <t>연구1팀</t>
        </is>
      </c>
      <c r="C44" s="19" t="inlineStr">
        <is>
          <t>팀장 이상</t>
        </is>
      </c>
      <c r="D44" s="19" t="inlineStr">
        <is>
          <t>증빙 준비</t>
        </is>
      </c>
      <c r="E44" s="19" t="inlineStr">
        <is>
          <t>결재 검토</t>
        </is>
      </c>
      <c r="F44" s="19" t="inlineStr">
        <is>
          <t>진행 확인·문의</t>
        </is>
      </c>
      <c r="G44" s="20" t="n">
        <v>9.5</v>
      </c>
      <c r="H44" s="19" t="inlineStr">
        <is>
          <t>영수증 하나하나 옮겨 적기</t>
        </is>
      </c>
    </row>
    <row r="45">
      <c r="A45" s="19" t="inlineStr">
        <is>
          <t>S044</t>
        </is>
      </c>
      <c r="B45" s="19" t="inlineStr">
        <is>
          <t>경영지원팀</t>
        </is>
      </c>
      <c r="C45" s="19" t="inlineStr">
        <is>
          <t>선임</t>
        </is>
      </c>
      <c r="D45" s="19" t="inlineStr">
        <is>
          <t>증빙 준비</t>
        </is>
      </c>
      <c r="E45" s="19" t="inlineStr">
        <is>
          <t>반려 후 재작성</t>
        </is>
      </c>
      <c r="F45" s="19" t="inlineStr">
        <is>
          <t>기타 사무</t>
        </is>
      </c>
      <c r="G45" s="20" t="n">
        <v>3.6</v>
      </c>
      <c r="H45" s="19" t="inlineStr">
        <is>
          <t>영수증 분실·흐림</t>
        </is>
      </c>
    </row>
    <row r="46">
      <c r="A46" s="19" t="inlineStr">
        <is>
          <t>S045</t>
        </is>
      </c>
      <c r="B46" s="19" t="inlineStr">
        <is>
          <t>연구1팀</t>
        </is>
      </c>
      <c r="C46" s="19" t="inlineStr">
        <is>
          <t>선임</t>
        </is>
      </c>
      <c r="D46" s="19" t="inlineStr">
        <is>
          <t>증빙 준비</t>
        </is>
      </c>
      <c r="E46" s="19" t="inlineStr">
        <is>
          <t>반려 후 재작성</t>
        </is>
      </c>
      <c r="F46" s="19" t="inlineStr">
        <is>
          <t>진행 확인·문의</t>
        </is>
      </c>
      <c r="G46" s="20" t="n">
        <v>4.8</v>
      </c>
      <c r="H46" s="19" t="inlineStr">
        <is>
          <t>합계 맞추기가 번거로움</t>
        </is>
      </c>
    </row>
    <row r="47">
      <c r="A47" s="19" t="inlineStr">
        <is>
          <t>S046</t>
        </is>
      </c>
      <c r="B47" s="19" t="inlineStr">
        <is>
          <t>시험평가팀</t>
        </is>
      </c>
      <c r="C47" s="19" t="inlineStr">
        <is>
          <t>책임</t>
        </is>
      </c>
      <c r="D47" s="19" t="inlineStr">
        <is>
          <t>처리 파악</t>
        </is>
      </c>
      <c r="E47" s="19" t="inlineStr">
        <is>
          <t>진행 확인·문의</t>
        </is>
      </c>
      <c r="F47" s="19" t="inlineStr">
        <is>
          <t>반려 후 재작성</t>
        </is>
      </c>
      <c r="G47" s="20" t="n">
        <v>5.8</v>
      </c>
      <c r="H47" s="19" t="inlineStr">
        <is>
          <t>전결권자가 헷갈림</t>
        </is>
      </c>
    </row>
    <row r="48">
      <c r="A48" s="19" t="inlineStr">
        <is>
          <t>S047</t>
        </is>
      </c>
      <c r="B48" s="19" t="inlineStr">
        <is>
          <t>연구2팀</t>
        </is>
      </c>
      <c r="C48" s="19" t="inlineStr">
        <is>
          <t>팀장 이상</t>
        </is>
      </c>
      <c r="D48" s="19" t="inlineStr">
        <is>
          <t>결재 검토</t>
        </is>
      </c>
      <c r="E48" s="19" t="inlineStr">
        <is>
          <t>진행 확인·문의</t>
        </is>
      </c>
      <c r="F48" s="19" t="inlineStr">
        <is>
          <t>문서 작성</t>
        </is>
      </c>
      <c r="G48" s="20" t="n">
        <v>6.1</v>
      </c>
      <c r="H48" s="19" t="inlineStr">
        <is>
          <t>문서마다 규정을 다시 확인</t>
        </is>
      </c>
    </row>
    <row r="49">
      <c r="A49" s="19" t="inlineStr">
        <is>
          <t>S048</t>
        </is>
      </c>
      <c r="B49" s="19" t="inlineStr">
        <is>
          <t>연구1팀</t>
        </is>
      </c>
      <c r="C49" s="19" t="inlineStr">
        <is>
          <t>선임</t>
        </is>
      </c>
      <c r="D49" s="19" t="inlineStr">
        <is>
          <t>증빙 준비</t>
        </is>
      </c>
      <c r="E49" s="19" t="inlineStr">
        <is>
          <t>처리 파악</t>
        </is>
      </c>
      <c r="F49" s="19" t="inlineStr">
        <is>
          <t>기타 사무</t>
        </is>
      </c>
      <c r="G49" s="20" t="n">
        <v>6.9</v>
      </c>
      <c r="H49" s="19" t="inlineStr">
        <is>
          <t>영수증 분실·흐림</t>
        </is>
      </c>
    </row>
    <row r="50">
      <c r="A50" s="19" t="inlineStr">
        <is>
          <t>S049</t>
        </is>
      </c>
      <c r="B50" s="19" t="inlineStr">
        <is>
          <t>연구1팀</t>
        </is>
      </c>
      <c r="C50" s="19" t="inlineStr">
        <is>
          <t>선임</t>
        </is>
      </c>
      <c r="D50" s="19" t="inlineStr">
        <is>
          <t>문서 작성</t>
        </is>
      </c>
      <c r="E50" s="19" t="inlineStr">
        <is>
          <t>증빙 준비</t>
        </is>
      </c>
      <c r="F50" s="19" t="inlineStr">
        <is>
          <t>반려 후 재작성</t>
        </is>
      </c>
      <c r="G50" s="20" t="n">
        <v>5.7</v>
      </c>
      <c r="H50" s="19" t="inlineStr">
        <is>
          <t>양식 항목이 많음</t>
        </is>
      </c>
    </row>
    <row r="51">
      <c r="A51" s="19" t="inlineStr">
        <is>
          <t>S050</t>
        </is>
      </c>
      <c r="B51" s="19" t="inlineStr">
        <is>
          <t>연구1팀</t>
        </is>
      </c>
      <c r="C51" s="19" t="inlineStr">
        <is>
          <t>선임</t>
        </is>
      </c>
      <c r="D51" s="19" t="inlineStr">
        <is>
          <t>증빙 준비</t>
        </is>
      </c>
      <c r="E51" s="19" t="inlineStr">
        <is>
          <t>처리 파악</t>
        </is>
      </c>
      <c r="F51" s="19" t="inlineStr">
        <is>
          <t>반려 후 재작성</t>
        </is>
      </c>
      <c r="G51" s="20" t="n">
        <v>7.7</v>
      </c>
      <c r="H51" s="19" t="inlineStr">
        <is>
          <t>영수증 하나하나 옮겨 적기</t>
        </is>
      </c>
    </row>
    <row r="52">
      <c r="A52" s="19" t="inlineStr">
        <is>
          <t>S051</t>
        </is>
      </c>
      <c r="B52" s="19" t="inlineStr">
        <is>
          <t>경영지원팀</t>
        </is>
      </c>
      <c r="C52" s="19" t="inlineStr">
        <is>
          <t>팀장 이상</t>
        </is>
      </c>
      <c r="D52" s="19" t="inlineStr">
        <is>
          <t>결재 검토</t>
        </is>
      </c>
      <c r="E52" s="19" t="inlineStr">
        <is>
          <t>증빙 준비</t>
        </is>
      </c>
      <c r="F52" s="19" t="inlineStr">
        <is>
          <t>진행 확인·문의</t>
        </is>
      </c>
      <c r="G52" s="20" t="n">
        <v>10.2</v>
      </c>
      <c r="H52" s="19" t="inlineStr">
        <is>
          <t>문서마다 규정을 다시 확인</t>
        </is>
      </c>
    </row>
    <row r="53">
      <c r="A53" s="19" t="inlineStr">
        <is>
          <t>S052</t>
        </is>
      </c>
      <c r="B53" s="19" t="inlineStr">
        <is>
          <t>연구1팀</t>
        </is>
      </c>
      <c r="C53" s="19" t="inlineStr">
        <is>
          <t>선임</t>
        </is>
      </c>
      <c r="D53" s="19" t="inlineStr">
        <is>
          <t>기타 사무</t>
        </is>
      </c>
      <c r="E53" s="19" t="inlineStr">
        <is>
          <t>증빙 준비</t>
        </is>
      </c>
      <c r="F53" s="19" t="inlineStr">
        <is>
          <t>진행 확인·문의</t>
        </is>
      </c>
      <c r="G53" s="20" t="n">
        <v>4.3</v>
      </c>
      <c r="H53" s="19" t="inlineStr">
        <is>
          <t>자료 정리</t>
        </is>
      </c>
    </row>
    <row r="54">
      <c r="A54" s="19" t="inlineStr">
        <is>
          <t>S053</t>
        </is>
      </c>
      <c r="B54" s="19" t="inlineStr">
        <is>
          <t>경영지원팀</t>
        </is>
      </c>
      <c r="C54" s="19" t="inlineStr">
        <is>
          <t>팀장 이상</t>
        </is>
      </c>
      <c r="D54" s="19" t="inlineStr">
        <is>
          <t>결재 검토</t>
        </is>
      </c>
      <c r="E54" s="19" t="inlineStr">
        <is>
          <t>처리 파악</t>
        </is>
      </c>
      <c r="F54" s="19" t="inlineStr">
        <is>
          <t>증빙 준비</t>
        </is>
      </c>
      <c r="G54" s="20" t="n">
        <v>7.1</v>
      </c>
      <c r="H54" s="19" t="inlineStr">
        <is>
          <t>문서마다 규정을 다시 확인</t>
        </is>
      </c>
    </row>
    <row r="55">
      <c r="A55" s="19" t="inlineStr">
        <is>
          <t>S054</t>
        </is>
      </c>
      <c r="B55" s="19" t="inlineStr">
        <is>
          <t>연구1팀</t>
        </is>
      </c>
      <c r="C55" s="19" t="inlineStr">
        <is>
          <t>사원</t>
        </is>
      </c>
      <c r="D55" s="19" t="inlineStr">
        <is>
          <t>문서 작성</t>
        </is>
      </c>
      <c r="E55" s="19" t="inlineStr">
        <is>
          <t>진행 확인·문의</t>
        </is>
      </c>
      <c r="F55" s="19" t="inlineStr">
        <is>
          <t>반려 후 재작성</t>
        </is>
      </c>
      <c r="G55" s="20" t="n">
        <v>6.7</v>
      </c>
      <c r="H55" s="19" t="inlineStr">
        <is>
          <t>양식 항목이 많음</t>
        </is>
      </c>
    </row>
    <row r="56">
      <c r="A56" s="19" t="inlineStr">
        <is>
          <t>S055</t>
        </is>
      </c>
      <c r="B56" s="19" t="inlineStr">
        <is>
          <t>연구2팀</t>
        </is>
      </c>
      <c r="C56" s="19" t="inlineStr">
        <is>
          <t>팀장 이상</t>
        </is>
      </c>
      <c r="D56" s="19" t="inlineStr">
        <is>
          <t>결재 검토</t>
        </is>
      </c>
      <c r="E56" s="19" t="inlineStr">
        <is>
          <t>진행 확인·문의</t>
        </is>
      </c>
      <c r="F56" s="19" t="inlineStr">
        <is>
          <t>처리 파악</t>
        </is>
      </c>
      <c r="G56" s="20" t="n">
        <v>9.800000000000001</v>
      </c>
      <c r="H56" s="19" t="inlineStr">
        <is>
          <t>결재가 한꺼번에 몰림</t>
        </is>
      </c>
    </row>
    <row r="57">
      <c r="A57" s="19" t="inlineStr">
        <is>
          <t>S056</t>
        </is>
      </c>
      <c r="B57" s="19" t="inlineStr">
        <is>
          <t>연구1팀</t>
        </is>
      </c>
      <c r="C57" s="19" t="inlineStr">
        <is>
          <t>선임</t>
        </is>
      </c>
      <c r="D57" s="19" t="inlineStr">
        <is>
          <t>진행 확인·문의</t>
        </is>
      </c>
      <c r="E57" s="19" t="inlineStr">
        <is>
          <t>증빙 준비</t>
        </is>
      </c>
      <c r="F57" s="19" t="inlineStr">
        <is>
          <t>반려 후 재작성</t>
        </is>
      </c>
      <c r="G57" s="20" t="n">
        <v>4.6</v>
      </c>
      <c r="H57" s="19" t="inlineStr">
        <is>
          <t>결재자에게 따로 물어봐야 함</t>
        </is>
      </c>
    </row>
    <row r="58">
      <c r="A58" s="19" t="inlineStr">
        <is>
          <t>S057</t>
        </is>
      </c>
      <c r="B58" s="19" t="inlineStr">
        <is>
          <t>연구2팀</t>
        </is>
      </c>
      <c r="C58" s="19" t="inlineStr">
        <is>
          <t>책임</t>
        </is>
      </c>
      <c r="D58" s="19" t="inlineStr">
        <is>
          <t>처리 파악</t>
        </is>
      </c>
      <c r="E58" s="19" t="inlineStr">
        <is>
          <t>문서 작성</t>
        </is>
      </c>
      <c r="F58" s="19" t="inlineStr">
        <is>
          <t>진행 확인·문의</t>
        </is>
      </c>
      <c r="G58" s="20" t="n">
        <v>7</v>
      </c>
      <c r="H58" s="19" t="inlineStr">
        <is>
          <t>어떤 결재를 올려야 하는지 매번 찾아봐야 함</t>
        </is>
      </c>
    </row>
    <row r="59">
      <c r="A59" s="19" t="inlineStr">
        <is>
          <t>S058</t>
        </is>
      </c>
      <c r="B59" s="19" t="inlineStr">
        <is>
          <t>시험평가팀</t>
        </is>
      </c>
      <c r="C59" s="19" t="inlineStr">
        <is>
          <t>수석</t>
        </is>
      </c>
      <c r="D59" s="19" t="inlineStr">
        <is>
          <t>문서 작성</t>
        </is>
      </c>
      <c r="E59" s="19" t="inlineStr">
        <is>
          <t>결재 검토</t>
        </is>
      </c>
      <c r="F59" s="19" t="inlineStr">
        <is>
          <t>진행 확인·문의</t>
        </is>
      </c>
      <c r="G59" s="20" t="n">
        <v>6.8</v>
      </c>
      <c r="H59" s="19" t="inlineStr">
        <is>
          <t>메모를 다시 옮겨 써야 함</t>
        </is>
      </c>
    </row>
    <row r="60">
      <c r="A60" s="19" t="inlineStr">
        <is>
          <t>S059</t>
        </is>
      </c>
      <c r="B60" s="19" t="inlineStr">
        <is>
          <t>연구2팀</t>
        </is>
      </c>
      <c r="C60" s="19" t="inlineStr">
        <is>
          <t>책임</t>
        </is>
      </c>
      <c r="D60" s="19" t="inlineStr">
        <is>
          <t>반려 후 재작성</t>
        </is>
      </c>
      <c r="E60" s="19" t="inlineStr">
        <is>
          <t>결재 검토</t>
        </is>
      </c>
      <c r="F60" s="19" t="inlineStr">
        <is>
          <t>기타 사무</t>
        </is>
      </c>
      <c r="G60" s="20" t="n">
        <v>3.5</v>
      </c>
      <c r="H60" s="19" t="inlineStr">
        <is>
          <t>사소한 누락으로 반려됨</t>
        </is>
      </c>
    </row>
    <row r="61">
      <c r="A61" s="19" t="inlineStr">
        <is>
          <t>S060</t>
        </is>
      </c>
      <c r="B61" s="19" t="inlineStr">
        <is>
          <t>연구2팀</t>
        </is>
      </c>
      <c r="C61" s="19" t="inlineStr">
        <is>
          <t>선임</t>
        </is>
      </c>
      <c r="D61" s="19" t="inlineStr">
        <is>
          <t>증빙 준비</t>
        </is>
      </c>
      <c r="E61" s="19" t="inlineStr">
        <is>
          <t>반려 후 재작성</t>
        </is>
      </c>
      <c r="F61" s="19" t="inlineStr">
        <is>
          <t>기타 사무</t>
        </is>
      </c>
      <c r="G61" s="20" t="n">
        <v>5.8</v>
      </c>
      <c r="H61" s="19" t="inlineStr">
        <is>
          <t>영수증 분실·흐림</t>
        </is>
      </c>
    </row>
    <row r="62">
      <c r="A62" s="19" t="inlineStr">
        <is>
          <t>S061</t>
        </is>
      </c>
      <c r="B62" s="19" t="inlineStr">
        <is>
          <t>시험평가팀</t>
        </is>
      </c>
      <c r="C62" s="19" t="inlineStr">
        <is>
          <t>사원</t>
        </is>
      </c>
      <c r="D62" s="19" t="inlineStr">
        <is>
          <t>반려 후 재작성</t>
        </is>
      </c>
      <c r="E62" s="19" t="inlineStr">
        <is>
          <t>처리 파악</t>
        </is>
      </c>
      <c r="F62" s="19" t="inlineStr">
        <is>
          <t>증빙 준비</t>
        </is>
      </c>
      <c r="G62" s="20" t="n">
        <v>6.7</v>
      </c>
      <c r="H62" s="19" t="inlineStr">
        <is>
          <t>반려 사유를 늦게 알게 됨</t>
        </is>
      </c>
    </row>
    <row r="63">
      <c r="A63" s="19" t="inlineStr">
        <is>
          <t>S062</t>
        </is>
      </c>
      <c r="B63" s="19" t="inlineStr">
        <is>
          <t>연구2팀</t>
        </is>
      </c>
      <c r="C63" s="19" t="inlineStr">
        <is>
          <t>사원</t>
        </is>
      </c>
      <c r="D63" s="19" t="inlineStr">
        <is>
          <t>증빙 준비</t>
        </is>
      </c>
      <c r="E63" s="19" t="inlineStr">
        <is>
          <t>처리 파악</t>
        </is>
      </c>
      <c r="F63" s="19" t="inlineStr">
        <is>
          <t>진행 확인·문의</t>
        </is>
      </c>
      <c r="G63" s="20" t="n">
        <v>5.2</v>
      </c>
      <c r="H63" s="19" t="inlineStr">
        <is>
          <t>합계 맞추기가 번거로움</t>
        </is>
      </c>
    </row>
    <row r="64">
      <c r="A64" s="19" t="inlineStr">
        <is>
          <t>S063</t>
        </is>
      </c>
      <c r="B64" s="19" t="inlineStr">
        <is>
          <t>연구1팀</t>
        </is>
      </c>
      <c r="C64" s="19" t="inlineStr">
        <is>
          <t>선임</t>
        </is>
      </c>
      <c r="D64" s="19" t="inlineStr">
        <is>
          <t>반려 후 재작성</t>
        </is>
      </c>
      <c r="E64" s="19" t="inlineStr">
        <is>
          <t>문서 작성</t>
        </is>
      </c>
      <c r="F64" s="19" t="inlineStr">
        <is>
          <t>진행 확인·문의</t>
        </is>
      </c>
      <c r="G64" s="20" t="n">
        <v>4.9</v>
      </c>
      <c r="H64" s="19" t="inlineStr">
        <is>
          <t>반려 사유를 늦게 알게 됨</t>
        </is>
      </c>
    </row>
    <row r="65">
      <c r="A65" s="19" t="inlineStr">
        <is>
          <t>S064</t>
        </is>
      </c>
      <c r="B65" s="19" t="inlineStr">
        <is>
          <t>연구1팀</t>
        </is>
      </c>
      <c r="C65" s="19" t="inlineStr">
        <is>
          <t>선임</t>
        </is>
      </c>
      <c r="D65" s="19" t="inlineStr">
        <is>
          <t>처리 파악</t>
        </is>
      </c>
      <c r="E65" s="19" t="inlineStr">
        <is>
          <t>문서 작성</t>
        </is>
      </c>
      <c r="F65" s="19" t="inlineStr">
        <is>
          <t>반려 후 재작성</t>
        </is>
      </c>
      <c r="G65" s="20" t="n">
        <v>7.1</v>
      </c>
      <c r="H65" s="19" t="inlineStr">
        <is>
          <t>어떤 결재를 올려야 하는지 매번 찾아봐야 함</t>
        </is>
      </c>
    </row>
    <row r="66">
      <c r="A66" s="19" t="inlineStr">
        <is>
          <t>S065</t>
        </is>
      </c>
      <c r="B66" s="19" t="inlineStr">
        <is>
          <t>연구2팀</t>
        </is>
      </c>
      <c r="C66" s="19" t="inlineStr">
        <is>
          <t>책임</t>
        </is>
      </c>
      <c r="D66" s="19" t="inlineStr">
        <is>
          <t>증빙 준비</t>
        </is>
      </c>
      <c r="E66" s="19" t="inlineStr">
        <is>
          <t>문서 작성</t>
        </is>
      </c>
      <c r="F66" s="19" t="inlineStr">
        <is>
          <t>결재 검토</t>
        </is>
      </c>
      <c r="G66" s="20" t="n">
        <v>5.3</v>
      </c>
      <c r="H66" s="19" t="inlineStr">
        <is>
          <t>합계 맞추기가 번거로움</t>
        </is>
      </c>
    </row>
    <row r="67">
      <c r="A67" s="19" t="inlineStr">
        <is>
          <t>S066</t>
        </is>
      </c>
      <c r="B67" s="19" t="inlineStr">
        <is>
          <t>연구2팀</t>
        </is>
      </c>
      <c r="C67" s="19" t="inlineStr">
        <is>
          <t>사원</t>
        </is>
      </c>
      <c r="D67" s="19" t="inlineStr">
        <is>
          <t>증빙 준비</t>
        </is>
      </c>
      <c r="E67" s="19" t="inlineStr">
        <is>
          <t>문서 작성</t>
        </is>
      </c>
      <c r="F67" s="19" t="inlineStr">
        <is>
          <t>진행 확인·문의</t>
        </is>
      </c>
      <c r="G67" s="20" t="n">
        <v>7.1</v>
      </c>
      <c r="H67" s="19" t="inlineStr">
        <is>
          <t>합계 맞추기가 번거로움</t>
        </is>
      </c>
    </row>
    <row r="68">
      <c r="A68" s="19" t="inlineStr">
        <is>
          <t>S067</t>
        </is>
      </c>
      <c r="B68" s="19" t="inlineStr">
        <is>
          <t>연구1팀</t>
        </is>
      </c>
      <c r="C68" s="19" t="inlineStr">
        <is>
          <t>선임</t>
        </is>
      </c>
      <c r="D68" s="19" t="inlineStr">
        <is>
          <t>증빙 준비</t>
        </is>
      </c>
      <c r="E68" s="19" t="inlineStr">
        <is>
          <t>진행 확인·문의</t>
        </is>
      </c>
      <c r="F68" s="19" t="inlineStr">
        <is>
          <t>반려 후 재작성</t>
        </is>
      </c>
      <c r="G68" s="20" t="n">
        <v>4.8</v>
      </c>
      <c r="H68" s="19" t="inlineStr">
        <is>
          <t>영수증 하나하나 옮겨 적기</t>
        </is>
      </c>
    </row>
    <row r="69">
      <c r="A69" s="19" t="inlineStr">
        <is>
          <t>S068</t>
        </is>
      </c>
      <c r="B69" s="19" t="inlineStr">
        <is>
          <t>연구2팀</t>
        </is>
      </c>
      <c r="C69" s="19" t="inlineStr">
        <is>
          <t>책임</t>
        </is>
      </c>
      <c r="D69" s="19" t="inlineStr">
        <is>
          <t>반려 후 재작성</t>
        </is>
      </c>
      <c r="E69" s="19" t="inlineStr">
        <is>
          <t>문서 작성</t>
        </is>
      </c>
      <c r="F69" s="19" t="inlineStr">
        <is>
          <t>증빙 준비</t>
        </is>
      </c>
      <c r="G69" s="20" t="n">
        <v>5.4</v>
      </c>
      <c r="H69" s="19" t="inlineStr">
        <is>
          <t>사소한 누락으로 반려됨</t>
        </is>
      </c>
    </row>
    <row r="70">
      <c r="A70" s="19" t="inlineStr">
        <is>
          <t>S069</t>
        </is>
      </c>
      <c r="B70" s="19" t="inlineStr">
        <is>
          <t>연구2팀</t>
        </is>
      </c>
      <c r="C70" s="19" t="inlineStr">
        <is>
          <t>책임</t>
        </is>
      </c>
      <c r="D70" s="19" t="inlineStr">
        <is>
          <t>진행 확인·문의</t>
        </is>
      </c>
      <c r="E70" s="19" t="inlineStr">
        <is>
          <t>문서 작성</t>
        </is>
      </c>
      <c r="F70" s="19" t="inlineStr">
        <is>
          <t>증빙 준비</t>
        </is>
      </c>
      <c r="G70" s="20" t="n">
        <v>5.2</v>
      </c>
      <c r="H70" s="19" t="inlineStr">
        <is>
          <t>결재자에게 따로 물어봐야 함</t>
        </is>
      </c>
    </row>
    <row r="71">
      <c r="A71" s="19" t="inlineStr">
        <is>
          <t>S070</t>
        </is>
      </c>
      <c r="B71" s="19" t="inlineStr">
        <is>
          <t>시험평가팀</t>
        </is>
      </c>
      <c r="C71" s="19" t="inlineStr">
        <is>
          <t>팀장 이상</t>
        </is>
      </c>
      <c r="D71" s="19" t="inlineStr">
        <is>
          <t>결재 검토</t>
        </is>
      </c>
      <c r="E71" s="19" t="inlineStr">
        <is>
          <t>진행 확인·문의</t>
        </is>
      </c>
      <c r="F71" s="19" t="inlineStr">
        <is>
          <t>문서 작성</t>
        </is>
      </c>
      <c r="G71" s="20" t="n">
        <v>11.4</v>
      </c>
      <c r="H71" s="19" t="inlineStr">
        <is>
          <t>무엇부터 봐야 할지 모름</t>
        </is>
      </c>
    </row>
    <row r="72">
      <c r="A72" s="19" t="inlineStr">
        <is>
          <t>S071</t>
        </is>
      </c>
      <c r="B72" s="19" t="inlineStr">
        <is>
          <t>연구1팀</t>
        </is>
      </c>
      <c r="C72" s="19" t="inlineStr">
        <is>
          <t>선임</t>
        </is>
      </c>
      <c r="D72" s="19" t="inlineStr">
        <is>
          <t>문서 작성</t>
        </is>
      </c>
      <c r="E72" s="19" t="inlineStr">
        <is>
          <t>진행 확인·문의</t>
        </is>
      </c>
      <c r="F72" s="19" t="inlineStr">
        <is>
          <t>처리 파악</t>
        </is>
      </c>
      <c r="G72" s="20" t="n">
        <v>8</v>
      </c>
      <c r="H72" s="19" t="inlineStr">
        <is>
          <t>양식 항목이 많음</t>
        </is>
      </c>
    </row>
    <row r="73">
      <c r="A73" s="19" t="inlineStr">
        <is>
          <t>S072</t>
        </is>
      </c>
      <c r="B73" s="19" t="inlineStr">
        <is>
          <t>시험평가팀</t>
        </is>
      </c>
      <c r="C73" s="19" t="inlineStr">
        <is>
          <t>수석</t>
        </is>
      </c>
      <c r="D73" s="19" t="inlineStr">
        <is>
          <t>증빙 준비</t>
        </is>
      </c>
      <c r="E73" s="19" t="inlineStr">
        <is>
          <t>진행 확인·문의</t>
        </is>
      </c>
      <c r="F73" s="19" t="inlineStr">
        <is>
          <t>결재 검토</t>
        </is>
      </c>
      <c r="G73" s="20" t="n">
        <v>9</v>
      </c>
      <c r="H73" s="19" t="inlineStr">
        <is>
          <t>합계 맞추기가 번거로움</t>
        </is>
      </c>
    </row>
    <row r="74">
      <c r="A74" s="19" t="inlineStr">
        <is>
          <t>S073</t>
        </is>
      </c>
      <c r="B74" s="19" t="inlineStr">
        <is>
          <t>연구1팀</t>
        </is>
      </c>
      <c r="C74" s="19" t="inlineStr">
        <is>
          <t>선임</t>
        </is>
      </c>
      <c r="D74" s="19" t="inlineStr">
        <is>
          <t>문서 작성</t>
        </is>
      </c>
      <c r="E74" s="19" t="inlineStr">
        <is>
          <t>처리 파악</t>
        </is>
      </c>
      <c r="F74" s="19" t="inlineStr">
        <is>
          <t>진행 확인·문의</t>
        </is>
      </c>
      <c r="G74" s="20" t="n">
        <v>7</v>
      </c>
      <c r="H74" s="19" t="inlineStr">
        <is>
          <t>양식 항목이 많음</t>
        </is>
      </c>
    </row>
    <row r="75">
      <c r="A75" s="19" t="inlineStr">
        <is>
          <t>S074</t>
        </is>
      </c>
      <c r="B75" s="19" t="inlineStr">
        <is>
          <t>연구2팀</t>
        </is>
      </c>
      <c r="C75" s="19" t="inlineStr">
        <is>
          <t>선임</t>
        </is>
      </c>
      <c r="D75" s="19" t="inlineStr">
        <is>
          <t>기타 사무</t>
        </is>
      </c>
      <c r="E75" s="19" t="inlineStr">
        <is>
          <t>진행 확인·문의</t>
        </is>
      </c>
      <c r="F75" s="19" t="inlineStr">
        <is>
          <t>처리 파악</t>
        </is>
      </c>
      <c r="G75" s="20" t="n">
        <v>6.3</v>
      </c>
      <c r="H75" s="19" t="inlineStr">
        <is>
          <t>자료 정리</t>
        </is>
      </c>
    </row>
    <row r="76">
      <c r="A76" s="19" t="inlineStr">
        <is>
          <t>S075</t>
        </is>
      </c>
      <c r="B76" s="19" t="inlineStr">
        <is>
          <t>경영지원팀</t>
        </is>
      </c>
      <c r="C76" s="19" t="inlineStr">
        <is>
          <t>책임</t>
        </is>
      </c>
      <c r="D76" s="19" t="inlineStr">
        <is>
          <t>반려 후 재작성</t>
        </is>
      </c>
      <c r="E76" s="19" t="inlineStr">
        <is>
          <t>증빙 준비</t>
        </is>
      </c>
      <c r="F76" s="19" t="inlineStr">
        <is>
          <t>진행 확인·문의</t>
        </is>
      </c>
      <c r="G76" s="20" t="n">
        <v>7.2</v>
      </c>
      <c r="H76" s="19" t="inlineStr">
        <is>
          <t>반려 사유를 늦게 알게 됨</t>
        </is>
      </c>
    </row>
    <row r="77">
      <c r="A77" s="19" t="inlineStr">
        <is>
          <t>S076</t>
        </is>
      </c>
      <c r="B77" s="19" t="inlineStr">
        <is>
          <t>연구2팀</t>
        </is>
      </c>
      <c r="C77" s="19" t="inlineStr">
        <is>
          <t>선임</t>
        </is>
      </c>
      <c r="D77" s="19" t="inlineStr">
        <is>
          <t>결재 검토</t>
        </is>
      </c>
      <c r="E77" s="19" t="inlineStr">
        <is>
          <t>문서 작성</t>
        </is>
      </c>
      <c r="F77" s="19" t="inlineStr">
        <is>
          <t>증빙 준비</t>
        </is>
      </c>
      <c r="G77" s="20" t="n">
        <v>7.1</v>
      </c>
      <c r="H77" s="19" t="inlineStr">
        <is>
          <t>무엇부터 봐야 할지 모름</t>
        </is>
      </c>
    </row>
    <row r="78">
      <c r="A78" s="19" t="inlineStr">
        <is>
          <t>S077</t>
        </is>
      </c>
      <c r="B78" s="19" t="inlineStr">
        <is>
          <t>연구2팀</t>
        </is>
      </c>
      <c r="C78" s="19" t="inlineStr">
        <is>
          <t>책임</t>
        </is>
      </c>
      <c r="D78" s="19" t="inlineStr">
        <is>
          <t>처리 파악</t>
        </is>
      </c>
      <c r="E78" s="19" t="inlineStr">
        <is>
          <t>기타 사무</t>
        </is>
      </c>
      <c r="F78" s="19" t="inlineStr">
        <is>
          <t>반려 후 재작성</t>
        </is>
      </c>
      <c r="G78" s="20" t="n">
        <v>5</v>
      </c>
      <c r="H78" s="19" t="inlineStr">
        <is>
          <t>전결권자가 헷갈림</t>
        </is>
      </c>
    </row>
    <row r="79">
      <c r="A79" s="19" t="inlineStr">
        <is>
          <t>S078</t>
        </is>
      </c>
      <c r="B79" s="19" t="inlineStr">
        <is>
          <t>연구2팀</t>
        </is>
      </c>
      <c r="C79" s="19" t="inlineStr">
        <is>
          <t>선임</t>
        </is>
      </c>
      <c r="D79" s="19" t="inlineStr">
        <is>
          <t>기타 사무</t>
        </is>
      </c>
      <c r="E79" s="19" t="inlineStr">
        <is>
          <t>반려 후 재작성</t>
        </is>
      </c>
      <c r="F79" s="19" t="inlineStr">
        <is>
          <t>문서 작성</t>
        </is>
      </c>
      <c r="G79" s="20" t="n">
        <v>5.8</v>
      </c>
      <c r="H79" s="19" t="inlineStr">
        <is>
          <t>자료 정리</t>
        </is>
      </c>
    </row>
    <row r="80">
      <c r="A80" s="19" t="inlineStr">
        <is>
          <t>S079</t>
        </is>
      </c>
      <c r="B80" s="19" t="inlineStr">
        <is>
          <t>경영지원팀</t>
        </is>
      </c>
      <c r="C80" s="19" t="inlineStr">
        <is>
          <t>선임</t>
        </is>
      </c>
      <c r="D80" s="19" t="inlineStr">
        <is>
          <t>문서 작성</t>
        </is>
      </c>
      <c r="E80" s="19" t="inlineStr">
        <is>
          <t>처리 파악</t>
        </is>
      </c>
      <c r="F80" s="19" t="inlineStr">
        <is>
          <t>증빙 준비</t>
        </is>
      </c>
      <c r="G80" s="20" t="n">
        <v>7.7</v>
      </c>
      <c r="H80" s="19" t="inlineStr">
        <is>
          <t>양식 항목이 많음</t>
        </is>
      </c>
    </row>
    <row r="81">
      <c r="A81" s="19" t="inlineStr">
        <is>
          <t>S080</t>
        </is>
      </c>
      <c r="B81" s="19" t="inlineStr">
        <is>
          <t>연구1팀</t>
        </is>
      </c>
      <c r="C81" s="19" t="inlineStr">
        <is>
          <t>선임</t>
        </is>
      </c>
      <c r="D81" s="19" t="inlineStr">
        <is>
          <t>반려 후 재작성</t>
        </is>
      </c>
      <c r="E81" s="19" t="inlineStr">
        <is>
          <t>기타 사무</t>
        </is>
      </c>
      <c r="F81" s="19" t="inlineStr">
        <is>
          <t>문서 작성</t>
        </is>
      </c>
      <c r="G81" s="20" t="n">
        <v>8.6</v>
      </c>
      <c r="H81" s="19" t="inlineStr">
        <is>
          <t>사소한 누락으로 반려됨</t>
        </is>
      </c>
    </row>
    <row r="82">
      <c r="A82" s="19" t="inlineStr">
        <is>
          <t>S081</t>
        </is>
      </c>
      <c r="B82" s="19" t="inlineStr">
        <is>
          <t>연구2팀</t>
        </is>
      </c>
      <c r="C82" s="19" t="inlineStr">
        <is>
          <t>책임</t>
        </is>
      </c>
      <c r="D82" s="19" t="inlineStr">
        <is>
          <t>반려 후 재작성</t>
        </is>
      </c>
      <c r="E82" s="19" t="inlineStr">
        <is>
          <t>기타 사무</t>
        </is>
      </c>
      <c r="F82" s="19" t="inlineStr">
        <is>
          <t>처리 파악</t>
        </is>
      </c>
      <c r="G82" s="20" t="n">
        <v>6.3</v>
      </c>
      <c r="H82" s="19" t="inlineStr">
        <is>
          <t>반려 사유를 늦게 알게 됨</t>
        </is>
      </c>
    </row>
    <row r="83">
      <c r="A83" s="19" t="inlineStr">
        <is>
          <t>S082</t>
        </is>
      </c>
      <c r="B83" s="19" t="inlineStr">
        <is>
          <t>시험평가팀</t>
        </is>
      </c>
      <c r="C83" s="19" t="inlineStr">
        <is>
          <t>책임</t>
        </is>
      </c>
      <c r="D83" s="19" t="inlineStr">
        <is>
          <t>문서 작성</t>
        </is>
      </c>
      <c r="E83" s="19" t="inlineStr">
        <is>
          <t>결재 검토</t>
        </is>
      </c>
      <c r="F83" s="19" t="inlineStr">
        <is>
          <t>처리 파악</t>
        </is>
      </c>
      <c r="G83" s="20" t="n">
        <v>6.6</v>
      </c>
      <c r="H83" s="19" t="inlineStr">
        <is>
          <t>양식 항목이 많음</t>
        </is>
      </c>
    </row>
    <row r="84">
      <c r="A84" s="19" t="inlineStr">
        <is>
          <t>S083</t>
        </is>
      </c>
      <c r="B84" s="19" t="inlineStr">
        <is>
          <t>시험평가팀</t>
        </is>
      </c>
      <c r="C84" s="19" t="inlineStr">
        <is>
          <t>책임</t>
        </is>
      </c>
      <c r="D84" s="19" t="inlineStr">
        <is>
          <t>문서 작성</t>
        </is>
      </c>
      <c r="E84" s="19" t="inlineStr">
        <is>
          <t>진행 확인·문의</t>
        </is>
      </c>
      <c r="F84" s="19" t="inlineStr">
        <is>
          <t>증빙 준비</t>
        </is>
      </c>
      <c r="G84" s="20" t="n">
        <v>4.9</v>
      </c>
      <c r="H84" s="19" t="inlineStr">
        <is>
          <t>양식 항목이 많음</t>
        </is>
      </c>
    </row>
    <row r="85">
      <c r="A85" s="19" t="inlineStr">
        <is>
          <t>S084</t>
        </is>
      </c>
      <c r="B85" s="19" t="inlineStr">
        <is>
          <t>시험평가팀</t>
        </is>
      </c>
      <c r="C85" s="19" t="inlineStr">
        <is>
          <t>수석</t>
        </is>
      </c>
      <c r="D85" s="19" t="inlineStr">
        <is>
          <t>문서 작성</t>
        </is>
      </c>
      <c r="E85" s="19" t="inlineStr">
        <is>
          <t>기타 사무</t>
        </is>
      </c>
      <c r="F85" s="19" t="inlineStr">
        <is>
          <t>결재 검토</t>
        </is>
      </c>
      <c r="G85" s="20" t="n">
        <v>6.9</v>
      </c>
      <c r="H85" s="19" t="inlineStr">
        <is>
          <t>양식 항목이 많음</t>
        </is>
      </c>
    </row>
    <row r="86">
      <c r="A86" s="19" t="inlineStr">
        <is>
          <t>S085</t>
        </is>
      </c>
      <c r="B86" s="19" t="inlineStr">
        <is>
          <t>경영지원팀</t>
        </is>
      </c>
      <c r="C86" s="19" t="inlineStr">
        <is>
          <t>책임</t>
        </is>
      </c>
      <c r="D86" s="19" t="inlineStr">
        <is>
          <t>반려 후 재작성</t>
        </is>
      </c>
      <c r="E86" s="19" t="inlineStr">
        <is>
          <t>진행 확인·문의</t>
        </is>
      </c>
      <c r="F86" s="19" t="inlineStr">
        <is>
          <t>증빙 준비</t>
        </is>
      </c>
      <c r="G86" s="20" t="n">
        <v>7.1</v>
      </c>
      <c r="H86" s="19" t="inlineStr">
        <is>
          <t>반려 사유를 늦게 알게 됨</t>
        </is>
      </c>
    </row>
    <row r="87">
      <c r="A87" s="19" t="inlineStr">
        <is>
          <t>S086</t>
        </is>
      </c>
      <c r="B87" s="19" t="inlineStr">
        <is>
          <t>연구1팀</t>
        </is>
      </c>
      <c r="C87" s="19" t="inlineStr">
        <is>
          <t>선임</t>
        </is>
      </c>
      <c r="D87" s="19" t="inlineStr">
        <is>
          <t>반려 후 재작성</t>
        </is>
      </c>
      <c r="E87" s="19" t="inlineStr">
        <is>
          <t>증빙 준비</t>
        </is>
      </c>
      <c r="F87" s="19" t="inlineStr">
        <is>
          <t>처리 파악</t>
        </is>
      </c>
      <c r="G87" s="20" t="n">
        <v>7.7</v>
      </c>
      <c r="H87" s="19" t="inlineStr">
        <is>
          <t>반려 사유를 늦게 알게 됨</t>
        </is>
      </c>
    </row>
    <row r="88">
      <c r="A88" s="19" t="inlineStr">
        <is>
          <t>S087</t>
        </is>
      </c>
      <c r="B88" s="19" t="inlineStr">
        <is>
          <t>연구1팀</t>
        </is>
      </c>
      <c r="C88" s="19" t="inlineStr">
        <is>
          <t>사원</t>
        </is>
      </c>
      <c r="D88" s="19" t="inlineStr">
        <is>
          <t>반려 후 재작성</t>
        </is>
      </c>
      <c r="E88" s="19" t="inlineStr">
        <is>
          <t>증빙 준비</t>
        </is>
      </c>
      <c r="F88" s="19" t="inlineStr">
        <is>
          <t>기타 사무</t>
        </is>
      </c>
      <c r="G88" s="20" t="n">
        <v>6.3</v>
      </c>
      <c r="H88" s="19" t="inlineStr">
        <is>
          <t>사소한 누락으로 반려됨</t>
        </is>
      </c>
    </row>
    <row r="89">
      <c r="A89" s="19" t="inlineStr">
        <is>
          <t>S088</t>
        </is>
      </c>
      <c r="B89" s="19" t="inlineStr">
        <is>
          <t>연구2팀</t>
        </is>
      </c>
      <c r="C89" s="19" t="inlineStr">
        <is>
          <t>팀장 이상</t>
        </is>
      </c>
      <c r="D89" s="19" t="inlineStr">
        <is>
          <t>진행 확인·문의</t>
        </is>
      </c>
      <c r="E89" s="19" t="inlineStr">
        <is>
          <t>반려 후 재작성</t>
        </is>
      </c>
      <c r="F89" s="19" t="inlineStr">
        <is>
          <t>결재 검토</t>
        </is>
      </c>
      <c r="G89" s="20" t="n">
        <v>11.3</v>
      </c>
      <c r="H89" s="19" t="inlineStr">
        <is>
          <t>결재자에게 따로 물어봐야 함</t>
        </is>
      </c>
    </row>
    <row r="90">
      <c r="A90" s="19" t="inlineStr">
        <is>
          <t>S089</t>
        </is>
      </c>
      <c r="B90" s="19" t="inlineStr">
        <is>
          <t>연구2팀</t>
        </is>
      </c>
      <c r="C90" s="19" t="inlineStr">
        <is>
          <t>팀장 이상</t>
        </is>
      </c>
      <c r="D90" s="19" t="inlineStr">
        <is>
          <t>처리 파악</t>
        </is>
      </c>
      <c r="E90" s="19" t="inlineStr">
        <is>
          <t>반려 후 재작성</t>
        </is>
      </c>
      <c r="F90" s="19" t="inlineStr">
        <is>
          <t>증빙 준비</t>
        </is>
      </c>
      <c r="G90" s="20" t="n">
        <v>11.8</v>
      </c>
      <c r="H90" s="19" t="inlineStr">
        <is>
          <t>어떤 결재를 올려야 하는지 매번 찾아봐야 함</t>
        </is>
      </c>
    </row>
    <row r="91">
      <c r="A91" s="19" t="inlineStr">
        <is>
          <t>S090</t>
        </is>
      </c>
      <c r="B91" s="19" t="inlineStr">
        <is>
          <t>경영지원팀</t>
        </is>
      </c>
      <c r="C91" s="19" t="inlineStr">
        <is>
          <t>사원</t>
        </is>
      </c>
      <c r="D91" s="19" t="inlineStr">
        <is>
          <t>문서 작성</t>
        </is>
      </c>
      <c r="E91" s="19" t="inlineStr">
        <is>
          <t>증빙 준비</t>
        </is>
      </c>
      <c r="F91" s="19" t="inlineStr">
        <is>
          <t>반려 후 재작성</t>
        </is>
      </c>
      <c r="G91" s="20" t="n">
        <v>8.9</v>
      </c>
      <c r="H91" s="19" t="inlineStr">
        <is>
          <t>메모를 다시 옮겨 써야 함</t>
        </is>
      </c>
    </row>
    <row r="92">
      <c r="A92" s="19" t="inlineStr">
        <is>
          <t>S091</t>
        </is>
      </c>
      <c r="B92" s="19" t="inlineStr">
        <is>
          <t>연구1팀</t>
        </is>
      </c>
      <c r="C92" s="19" t="inlineStr">
        <is>
          <t>선임</t>
        </is>
      </c>
      <c r="D92" s="19" t="inlineStr">
        <is>
          <t>반려 후 재작성</t>
        </is>
      </c>
      <c r="E92" s="19" t="inlineStr">
        <is>
          <t>문서 작성</t>
        </is>
      </c>
      <c r="F92" s="19" t="inlineStr">
        <is>
          <t>진행 확인·문의</t>
        </is>
      </c>
      <c r="G92" s="20" t="n">
        <v>4</v>
      </c>
      <c r="H92" s="19" t="inlineStr">
        <is>
          <t>사소한 누락으로 반려됨</t>
        </is>
      </c>
    </row>
    <row r="93">
      <c r="A93" s="19" t="inlineStr">
        <is>
          <t>S092</t>
        </is>
      </c>
      <c r="B93" s="19" t="inlineStr">
        <is>
          <t>경영지원팀</t>
        </is>
      </c>
      <c r="C93" s="19" t="inlineStr">
        <is>
          <t>책임</t>
        </is>
      </c>
      <c r="D93" s="19" t="inlineStr">
        <is>
          <t>결재 검토</t>
        </is>
      </c>
      <c r="E93" s="19" t="inlineStr">
        <is>
          <t>기타 사무</t>
        </is>
      </c>
      <c r="F93" s="19" t="inlineStr">
        <is>
          <t>반려 후 재작성</t>
        </is>
      </c>
      <c r="G93" s="20" t="n">
        <v>8.699999999999999</v>
      </c>
      <c r="H93" s="19" t="inlineStr">
        <is>
          <t>결재가 한꺼번에 몰림</t>
        </is>
      </c>
    </row>
    <row r="94">
      <c r="A94" s="19" t="inlineStr">
        <is>
          <t>S093</t>
        </is>
      </c>
      <c r="B94" s="19" t="inlineStr">
        <is>
          <t>연구1팀</t>
        </is>
      </c>
      <c r="C94" s="19" t="inlineStr">
        <is>
          <t>선임</t>
        </is>
      </c>
      <c r="D94" s="19" t="inlineStr">
        <is>
          <t>반려 후 재작성</t>
        </is>
      </c>
      <c r="E94" s="19" t="inlineStr">
        <is>
          <t>문서 작성</t>
        </is>
      </c>
      <c r="F94" s="19" t="inlineStr">
        <is>
          <t>진행 확인·문의</t>
        </is>
      </c>
      <c r="G94" s="20" t="n">
        <v>7.2</v>
      </c>
      <c r="H94" s="19" t="inlineStr">
        <is>
          <t>사소한 누락으로 반려됨</t>
        </is>
      </c>
    </row>
    <row r="95">
      <c r="A95" s="19" t="inlineStr">
        <is>
          <t>S094</t>
        </is>
      </c>
      <c r="B95" s="19" t="inlineStr">
        <is>
          <t>시험평가팀</t>
        </is>
      </c>
      <c r="C95" s="19" t="inlineStr">
        <is>
          <t>책임</t>
        </is>
      </c>
      <c r="D95" s="19" t="inlineStr">
        <is>
          <t>기타 사무</t>
        </is>
      </c>
      <c r="E95" s="19" t="inlineStr">
        <is>
          <t>증빙 준비</t>
        </is>
      </c>
      <c r="F95" s="19" t="inlineStr">
        <is>
          <t>문서 작성</t>
        </is>
      </c>
      <c r="G95" s="20" t="n">
        <v>7.9</v>
      </c>
      <c r="H95" s="19" t="inlineStr">
        <is>
          <t>일정 조율</t>
        </is>
      </c>
    </row>
    <row r="96">
      <c r="A96" s="19" t="inlineStr">
        <is>
          <t>S095</t>
        </is>
      </c>
      <c r="B96" s="19" t="inlineStr">
        <is>
          <t>시험평가팀</t>
        </is>
      </c>
      <c r="C96" s="19" t="inlineStr">
        <is>
          <t>수석</t>
        </is>
      </c>
      <c r="D96" s="19" t="inlineStr">
        <is>
          <t>문서 작성</t>
        </is>
      </c>
      <c r="E96" s="19" t="inlineStr">
        <is>
          <t>증빙 준비</t>
        </is>
      </c>
      <c r="F96" s="19" t="inlineStr">
        <is>
          <t>기타 사무</t>
        </is>
      </c>
      <c r="G96" s="20" t="n">
        <v>3.4</v>
      </c>
      <c r="H96" s="19" t="inlineStr">
        <is>
          <t>메모를 다시 옮겨 써야 함</t>
        </is>
      </c>
    </row>
    <row r="97">
      <c r="A97" s="19" t="inlineStr">
        <is>
          <t>S096</t>
        </is>
      </c>
      <c r="B97" s="19" t="inlineStr">
        <is>
          <t>연구1팀</t>
        </is>
      </c>
      <c r="C97" s="19" t="inlineStr">
        <is>
          <t>선임</t>
        </is>
      </c>
      <c r="D97" s="19" t="inlineStr">
        <is>
          <t>문서 작성</t>
        </is>
      </c>
      <c r="E97" s="19" t="inlineStr">
        <is>
          <t>처리 파악</t>
        </is>
      </c>
      <c r="F97" s="19" t="inlineStr">
        <is>
          <t>증빙 준비</t>
        </is>
      </c>
      <c r="G97" s="20" t="n">
        <v>5.4</v>
      </c>
      <c r="H97" s="19" t="inlineStr">
        <is>
          <t>메모를 다시 옮겨 써야 함</t>
        </is>
      </c>
    </row>
    <row r="98">
      <c r="A98" s="19" t="inlineStr">
        <is>
          <t>S097</t>
        </is>
      </c>
      <c r="B98" s="19" t="inlineStr">
        <is>
          <t>연구2팀</t>
        </is>
      </c>
      <c r="C98" s="19" t="inlineStr">
        <is>
          <t>선임</t>
        </is>
      </c>
      <c r="D98" s="19" t="inlineStr">
        <is>
          <t>처리 파악</t>
        </is>
      </c>
      <c r="E98" s="19" t="inlineStr">
        <is>
          <t>문서 작성</t>
        </is>
      </c>
      <c r="F98" s="19" t="inlineStr">
        <is>
          <t>진행 확인·문의</t>
        </is>
      </c>
      <c r="G98" s="20" t="n">
        <v>5.5</v>
      </c>
      <c r="H98" s="19" t="inlineStr">
        <is>
          <t>어떤 결재를 올려야 하는지 매번 찾아봐야 함</t>
        </is>
      </c>
    </row>
    <row r="99">
      <c r="A99" s="19" t="inlineStr">
        <is>
          <t>S098</t>
        </is>
      </c>
      <c r="B99" s="19" t="inlineStr">
        <is>
          <t>시험평가팀</t>
        </is>
      </c>
      <c r="C99" s="19" t="inlineStr">
        <is>
          <t>수석</t>
        </is>
      </c>
      <c r="D99" s="19" t="inlineStr">
        <is>
          <t>처리 파악</t>
        </is>
      </c>
      <c r="E99" s="19" t="inlineStr">
        <is>
          <t>문서 작성</t>
        </is>
      </c>
      <c r="F99" s="19" t="inlineStr">
        <is>
          <t>기타 사무</t>
        </is>
      </c>
      <c r="G99" s="20" t="n">
        <v>4.3</v>
      </c>
      <c r="H99" s="19" t="inlineStr">
        <is>
          <t>어떤 결재를 올려야 하는지 매번 찾아봐야 함</t>
        </is>
      </c>
    </row>
    <row r="100">
      <c r="A100" s="19" t="inlineStr">
        <is>
          <t>S099</t>
        </is>
      </c>
      <c r="B100" s="19" t="inlineStr">
        <is>
          <t>연구1팀</t>
        </is>
      </c>
      <c r="C100" s="19" t="inlineStr">
        <is>
          <t>책임</t>
        </is>
      </c>
      <c r="D100" s="19" t="inlineStr">
        <is>
          <t>진행 확인·문의</t>
        </is>
      </c>
      <c r="E100" s="19" t="inlineStr">
        <is>
          <t>증빙 준비</t>
        </is>
      </c>
      <c r="F100" s="19" t="inlineStr">
        <is>
          <t>처리 파악</t>
        </is>
      </c>
      <c r="G100" s="20" t="n">
        <v>8.4</v>
      </c>
      <c r="H100" s="19" t="inlineStr">
        <is>
          <t>결재자에게 따로 물어봐야 함</t>
        </is>
      </c>
    </row>
    <row r="101">
      <c r="A101" s="19" t="inlineStr">
        <is>
          <t>S100</t>
        </is>
      </c>
      <c r="B101" s="19" t="inlineStr">
        <is>
          <t>연구2팀</t>
        </is>
      </c>
      <c r="C101" s="19" t="inlineStr">
        <is>
          <t>책임</t>
        </is>
      </c>
      <c r="D101" s="19" t="inlineStr">
        <is>
          <t>증빙 준비</t>
        </is>
      </c>
      <c r="E101" s="19" t="inlineStr">
        <is>
          <t>진행 확인·문의</t>
        </is>
      </c>
      <c r="F101" s="19" t="inlineStr">
        <is>
          <t>반려 후 재작성</t>
        </is>
      </c>
      <c r="G101" s="20" t="n">
        <v>7.9</v>
      </c>
      <c r="H101" s="19" t="inlineStr">
        <is>
          <t>영수증 분실·흐림</t>
        </is>
      </c>
    </row>
    <row r="102">
      <c r="A102" s="19" t="inlineStr">
        <is>
          <t>S101</t>
        </is>
      </c>
      <c r="B102" s="19" t="inlineStr">
        <is>
          <t>연구2팀</t>
        </is>
      </c>
      <c r="C102" s="19" t="inlineStr">
        <is>
          <t>선임</t>
        </is>
      </c>
      <c r="D102" s="19" t="inlineStr">
        <is>
          <t>증빙 준비</t>
        </is>
      </c>
      <c r="E102" s="19" t="inlineStr">
        <is>
          <t>반려 후 재작성</t>
        </is>
      </c>
      <c r="F102" s="19" t="inlineStr">
        <is>
          <t>진행 확인·문의</t>
        </is>
      </c>
      <c r="G102" s="20" t="n">
        <v>6.5</v>
      </c>
      <c r="H102" s="19" t="inlineStr">
        <is>
          <t>영수증 하나하나 옮겨 적기</t>
        </is>
      </c>
    </row>
    <row r="103">
      <c r="A103" s="19" t="inlineStr">
        <is>
          <t>S102</t>
        </is>
      </c>
      <c r="B103" s="19" t="inlineStr">
        <is>
          <t>연구2팀</t>
        </is>
      </c>
      <c r="C103" s="19" t="inlineStr">
        <is>
          <t>책임</t>
        </is>
      </c>
      <c r="D103" s="19" t="inlineStr">
        <is>
          <t>증빙 준비</t>
        </is>
      </c>
      <c r="E103" s="19" t="inlineStr">
        <is>
          <t>결재 검토</t>
        </is>
      </c>
      <c r="F103" s="19" t="inlineStr">
        <is>
          <t>문서 작성</t>
        </is>
      </c>
      <c r="G103" s="20" t="n">
        <v>6.2</v>
      </c>
      <c r="H103" s="19" t="inlineStr">
        <is>
          <t>영수증 하나하나 옮겨 적기</t>
        </is>
      </c>
    </row>
    <row r="104">
      <c r="A104" s="19" t="inlineStr">
        <is>
          <t>S103</t>
        </is>
      </c>
      <c r="B104" s="19" t="inlineStr">
        <is>
          <t>연구2팀</t>
        </is>
      </c>
      <c r="C104" s="19" t="inlineStr">
        <is>
          <t>선임</t>
        </is>
      </c>
      <c r="D104" s="19" t="inlineStr">
        <is>
          <t>증빙 준비</t>
        </is>
      </c>
      <c r="E104" s="19" t="inlineStr">
        <is>
          <t>반려 후 재작성</t>
        </is>
      </c>
      <c r="F104" s="19" t="inlineStr">
        <is>
          <t>처리 파악</t>
        </is>
      </c>
      <c r="G104" s="20" t="n">
        <v>3.7</v>
      </c>
      <c r="H104" s="19" t="inlineStr">
        <is>
          <t>합계 맞추기가 번거로움</t>
        </is>
      </c>
    </row>
    <row r="105">
      <c r="A105" s="19" t="inlineStr">
        <is>
          <t>S104</t>
        </is>
      </c>
      <c r="B105" s="19" t="inlineStr">
        <is>
          <t>연구1팀</t>
        </is>
      </c>
      <c r="C105" s="19" t="inlineStr">
        <is>
          <t>팀장 이상</t>
        </is>
      </c>
      <c r="D105" s="19" t="inlineStr">
        <is>
          <t>진행 확인·문의</t>
        </is>
      </c>
      <c r="E105" s="19" t="inlineStr">
        <is>
          <t>처리 파악</t>
        </is>
      </c>
      <c r="F105" s="19" t="inlineStr">
        <is>
          <t>증빙 준비</t>
        </is>
      </c>
      <c r="G105" s="20" t="n">
        <v>6.1</v>
      </c>
      <c r="H105" s="19" t="inlineStr">
        <is>
          <t>결재자에게 따로 물어봐야 함</t>
        </is>
      </c>
    </row>
    <row r="106">
      <c r="A106" s="19" t="inlineStr">
        <is>
          <t>S105</t>
        </is>
      </c>
      <c r="B106" s="19" t="inlineStr">
        <is>
          <t>경영지원팀</t>
        </is>
      </c>
      <c r="C106" s="19" t="inlineStr">
        <is>
          <t>선임</t>
        </is>
      </c>
      <c r="D106" s="19" t="inlineStr">
        <is>
          <t>문서 작성</t>
        </is>
      </c>
      <c r="E106" s="19" t="inlineStr">
        <is>
          <t>증빙 준비</t>
        </is>
      </c>
      <c r="F106" s="19" t="inlineStr">
        <is>
          <t>기타 사무</t>
        </is>
      </c>
      <c r="G106" s="20" t="n">
        <v>8.1</v>
      </c>
      <c r="H106" s="19" t="inlineStr">
        <is>
          <t>양식 항목이 많음</t>
        </is>
      </c>
    </row>
    <row r="107">
      <c r="A107" s="19" t="inlineStr">
        <is>
          <t>S106</t>
        </is>
      </c>
      <c r="B107" s="19" t="inlineStr">
        <is>
          <t>연구2팀</t>
        </is>
      </c>
      <c r="C107" s="19" t="inlineStr">
        <is>
          <t>사원</t>
        </is>
      </c>
      <c r="D107" s="19" t="inlineStr">
        <is>
          <t>증빙 준비</t>
        </is>
      </c>
      <c r="E107" s="19" t="inlineStr">
        <is>
          <t>진행 확인·문의</t>
        </is>
      </c>
      <c r="F107" s="19" t="inlineStr">
        <is>
          <t>처리 파악</t>
        </is>
      </c>
      <c r="G107" s="20" t="n">
        <v>3.2</v>
      </c>
      <c r="H107" s="19" t="inlineStr">
        <is>
          <t>합계 맞추기가 번거로움</t>
        </is>
      </c>
    </row>
    <row r="108">
      <c r="A108" s="19" t="inlineStr">
        <is>
          <t>S107</t>
        </is>
      </c>
      <c r="B108" s="19" t="inlineStr">
        <is>
          <t>연구2팀</t>
        </is>
      </c>
      <c r="C108" s="19" t="inlineStr">
        <is>
          <t>사원</t>
        </is>
      </c>
      <c r="D108" s="19" t="inlineStr">
        <is>
          <t>기타 사무</t>
        </is>
      </c>
      <c r="E108" s="19" t="inlineStr">
        <is>
          <t>증빙 준비</t>
        </is>
      </c>
      <c r="F108" s="19" t="inlineStr">
        <is>
          <t>문서 작성</t>
        </is>
      </c>
      <c r="G108" s="20" t="n">
        <v>3.6</v>
      </c>
      <c r="H108" s="19" t="inlineStr">
        <is>
          <t>일정 조율</t>
        </is>
      </c>
    </row>
    <row r="109">
      <c r="A109" s="19" t="inlineStr">
        <is>
          <t>S108</t>
        </is>
      </c>
      <c r="B109" s="19" t="inlineStr">
        <is>
          <t>시험평가팀</t>
        </is>
      </c>
      <c r="C109" s="19" t="inlineStr">
        <is>
          <t>수석</t>
        </is>
      </c>
      <c r="D109" s="19" t="inlineStr">
        <is>
          <t>진행 확인·문의</t>
        </is>
      </c>
      <c r="E109" s="19" t="inlineStr">
        <is>
          <t>반려 후 재작성</t>
        </is>
      </c>
      <c r="F109" s="19" t="inlineStr">
        <is>
          <t>증빙 준비</t>
        </is>
      </c>
      <c r="G109" s="20" t="n">
        <v>6.5</v>
      </c>
      <c r="H109" s="19" t="inlineStr">
        <is>
          <t>결재자에게 따로 물어봐야 함</t>
        </is>
      </c>
    </row>
    <row r="110">
      <c r="A110" s="19" t="inlineStr">
        <is>
          <t>S109</t>
        </is>
      </c>
      <c r="B110" s="19" t="inlineStr">
        <is>
          <t>시험평가팀</t>
        </is>
      </c>
      <c r="C110" s="19" t="inlineStr">
        <is>
          <t>책임</t>
        </is>
      </c>
      <c r="D110" s="19" t="inlineStr">
        <is>
          <t>반려 후 재작성</t>
        </is>
      </c>
      <c r="E110" s="19" t="inlineStr">
        <is>
          <t>문서 작성</t>
        </is>
      </c>
      <c r="F110" s="19" t="inlineStr">
        <is>
          <t>증빙 준비</t>
        </is>
      </c>
      <c r="G110" s="20" t="n">
        <v>5.6</v>
      </c>
      <c r="H110" s="19" t="inlineStr">
        <is>
          <t>반려 사유를 늦게 알게 됨</t>
        </is>
      </c>
    </row>
    <row r="111">
      <c r="A111" s="19" t="inlineStr">
        <is>
          <t>S110</t>
        </is>
      </c>
      <c r="B111" s="19" t="inlineStr">
        <is>
          <t>경영지원팀</t>
        </is>
      </c>
      <c r="C111" s="19" t="inlineStr">
        <is>
          <t>책임</t>
        </is>
      </c>
      <c r="D111" s="19" t="inlineStr">
        <is>
          <t>진행 확인·문의</t>
        </is>
      </c>
      <c r="E111" s="19" t="inlineStr">
        <is>
          <t>반려 후 재작성</t>
        </is>
      </c>
      <c r="F111" s="19" t="inlineStr">
        <is>
          <t>문서 작성</t>
        </is>
      </c>
      <c r="G111" s="20" t="n">
        <v>4.9</v>
      </c>
      <c r="H111" s="19" t="inlineStr">
        <is>
          <t>결재자에게 따로 물어봐야 함</t>
        </is>
      </c>
    </row>
    <row r="112">
      <c r="A112" s="19" t="inlineStr">
        <is>
          <t>S111</t>
        </is>
      </c>
      <c r="B112" s="19" t="inlineStr">
        <is>
          <t>경영지원팀</t>
        </is>
      </c>
      <c r="C112" s="19" t="inlineStr">
        <is>
          <t>선임</t>
        </is>
      </c>
      <c r="D112" s="19" t="inlineStr">
        <is>
          <t>반려 후 재작성</t>
        </is>
      </c>
      <c r="E112" s="19" t="inlineStr">
        <is>
          <t>증빙 준비</t>
        </is>
      </c>
      <c r="F112" s="19" t="inlineStr">
        <is>
          <t>문서 작성</t>
        </is>
      </c>
      <c r="G112" s="20" t="n">
        <v>4.5</v>
      </c>
      <c r="H112" s="19" t="inlineStr">
        <is>
          <t>반려 사유를 늦게 알게 됨</t>
        </is>
      </c>
    </row>
    <row r="113">
      <c r="A113" s="19" t="inlineStr">
        <is>
          <t>S112</t>
        </is>
      </c>
      <c r="B113" s="19" t="inlineStr">
        <is>
          <t>시험평가팀</t>
        </is>
      </c>
      <c r="C113" s="19" t="inlineStr">
        <is>
          <t>수석</t>
        </is>
      </c>
      <c r="D113" s="19" t="inlineStr">
        <is>
          <t>결재 검토</t>
        </is>
      </c>
      <c r="E113" s="19" t="inlineStr">
        <is>
          <t>문서 작성</t>
        </is>
      </c>
      <c r="F113" s="19" t="inlineStr">
        <is>
          <t>진행 확인·문의</t>
        </is>
      </c>
      <c r="G113" s="20" t="n">
        <v>5.8</v>
      </c>
      <c r="H113" s="19" t="inlineStr">
        <is>
          <t>무엇부터 봐야 할지 모름</t>
        </is>
      </c>
    </row>
    <row r="114">
      <c r="A114" s="19" t="inlineStr">
        <is>
          <t>S113</t>
        </is>
      </c>
      <c r="B114" s="19" t="inlineStr">
        <is>
          <t>연구2팀</t>
        </is>
      </c>
      <c r="C114" s="19" t="inlineStr">
        <is>
          <t>팀장 이상</t>
        </is>
      </c>
      <c r="D114" s="19" t="inlineStr">
        <is>
          <t>처리 파악</t>
        </is>
      </c>
      <c r="E114" s="19" t="inlineStr">
        <is>
          <t>문서 작성</t>
        </is>
      </c>
      <c r="F114" s="19" t="inlineStr">
        <is>
          <t>반려 후 재작성</t>
        </is>
      </c>
      <c r="G114" s="20" t="n">
        <v>9.4</v>
      </c>
      <c r="H114" s="19" t="inlineStr">
        <is>
          <t>어떤 결재를 올려야 하는지 매번 찾아봐야 함</t>
        </is>
      </c>
    </row>
    <row r="115">
      <c r="A115" s="19" t="inlineStr">
        <is>
          <t>S114</t>
        </is>
      </c>
      <c r="B115" s="19" t="inlineStr">
        <is>
          <t>경영지원팀</t>
        </is>
      </c>
      <c r="C115" s="19" t="inlineStr">
        <is>
          <t>선임</t>
        </is>
      </c>
      <c r="D115" s="19" t="inlineStr">
        <is>
          <t>반려 후 재작성</t>
        </is>
      </c>
      <c r="E115" s="19" t="inlineStr">
        <is>
          <t>진행 확인·문의</t>
        </is>
      </c>
      <c r="F115" s="19" t="inlineStr">
        <is>
          <t>문서 작성</t>
        </is>
      </c>
      <c r="G115" s="20" t="n">
        <v>7.2</v>
      </c>
      <c r="H115" s="19" t="inlineStr">
        <is>
          <t>사소한 누락으로 반려됨</t>
        </is>
      </c>
    </row>
    <row r="116">
      <c r="A116" s="19" t="inlineStr">
        <is>
          <t>S115</t>
        </is>
      </c>
      <c r="B116" s="19" t="inlineStr">
        <is>
          <t>연구2팀</t>
        </is>
      </c>
      <c r="C116" s="19" t="inlineStr">
        <is>
          <t>책임</t>
        </is>
      </c>
      <c r="D116" s="19" t="inlineStr">
        <is>
          <t>반려 후 재작성</t>
        </is>
      </c>
      <c r="E116" s="19" t="inlineStr">
        <is>
          <t>증빙 준비</t>
        </is>
      </c>
      <c r="F116" s="19" t="inlineStr">
        <is>
          <t>결재 검토</t>
        </is>
      </c>
      <c r="G116" s="20" t="n">
        <v>7.4</v>
      </c>
      <c r="H116" s="19" t="inlineStr">
        <is>
          <t>반려 사유를 늦게 알게 됨</t>
        </is>
      </c>
    </row>
    <row r="117">
      <c r="A117" s="19" t="inlineStr">
        <is>
          <t>S116</t>
        </is>
      </c>
      <c r="B117" s="19" t="inlineStr">
        <is>
          <t>경영지원팀</t>
        </is>
      </c>
      <c r="C117" s="19" t="inlineStr">
        <is>
          <t>사원</t>
        </is>
      </c>
      <c r="D117" s="19" t="inlineStr">
        <is>
          <t>문서 작성</t>
        </is>
      </c>
      <c r="E117" s="19" t="inlineStr">
        <is>
          <t>반려 후 재작성</t>
        </is>
      </c>
      <c r="F117" s="19" t="inlineStr">
        <is>
          <t>기타 사무</t>
        </is>
      </c>
      <c r="G117" s="20" t="n">
        <v>4.7</v>
      </c>
      <c r="H117" s="19" t="inlineStr">
        <is>
          <t>양식 항목이 많음</t>
        </is>
      </c>
    </row>
    <row r="118">
      <c r="A118" s="19" t="inlineStr">
        <is>
          <t>S117</t>
        </is>
      </c>
      <c r="B118" s="19" t="inlineStr">
        <is>
          <t>연구2팀</t>
        </is>
      </c>
      <c r="C118" s="19" t="inlineStr">
        <is>
          <t>책임</t>
        </is>
      </c>
      <c r="D118" s="19" t="inlineStr">
        <is>
          <t>문서 작성</t>
        </is>
      </c>
      <c r="E118" s="19" t="inlineStr">
        <is>
          <t>반려 후 재작성</t>
        </is>
      </c>
      <c r="F118" s="19" t="inlineStr">
        <is>
          <t>증빙 준비</t>
        </is>
      </c>
      <c r="G118" s="20" t="n">
        <v>6</v>
      </c>
      <c r="H118" s="19" t="inlineStr">
        <is>
          <t>양식 항목이 많음</t>
        </is>
      </c>
    </row>
    <row r="119">
      <c r="A119" s="19" t="inlineStr">
        <is>
          <t>S118</t>
        </is>
      </c>
      <c r="B119" s="19" t="inlineStr">
        <is>
          <t>경영지원팀</t>
        </is>
      </c>
      <c r="C119" s="19" t="inlineStr">
        <is>
          <t>선임</t>
        </is>
      </c>
      <c r="D119" s="19" t="inlineStr">
        <is>
          <t>반려 후 재작성</t>
        </is>
      </c>
      <c r="E119" s="19" t="inlineStr">
        <is>
          <t>진행 확인·문의</t>
        </is>
      </c>
      <c r="F119" s="19" t="inlineStr">
        <is>
          <t>처리 파악</t>
        </is>
      </c>
      <c r="G119" s="20" t="n">
        <v>7.9</v>
      </c>
      <c r="H119" s="19" t="inlineStr">
        <is>
          <t>사소한 누락으로 반려됨</t>
        </is>
      </c>
    </row>
    <row r="120">
      <c r="A120" s="19" t="inlineStr">
        <is>
          <t>S119</t>
        </is>
      </c>
      <c r="B120" s="19" t="inlineStr">
        <is>
          <t>연구2팀</t>
        </is>
      </c>
      <c r="C120" s="19" t="inlineStr">
        <is>
          <t>책임</t>
        </is>
      </c>
      <c r="D120" s="19" t="inlineStr">
        <is>
          <t>반려 후 재작성</t>
        </is>
      </c>
      <c r="E120" s="19" t="inlineStr">
        <is>
          <t>처리 파악</t>
        </is>
      </c>
      <c r="F120" s="19" t="inlineStr">
        <is>
          <t>결재 검토</t>
        </is>
      </c>
      <c r="G120" s="20" t="n">
        <v>3.7</v>
      </c>
      <c r="H120" s="19" t="inlineStr">
        <is>
          <t>사소한 누락으로 반려됨</t>
        </is>
      </c>
    </row>
    <row r="121">
      <c r="A121" s="19" t="inlineStr">
        <is>
          <t>S120</t>
        </is>
      </c>
      <c r="B121" s="19" t="inlineStr">
        <is>
          <t>시험평가팀</t>
        </is>
      </c>
      <c r="C121" s="19" t="inlineStr">
        <is>
          <t>책임</t>
        </is>
      </c>
      <c r="D121" s="19" t="inlineStr">
        <is>
          <t>반려 후 재작성</t>
        </is>
      </c>
      <c r="E121" s="19" t="inlineStr">
        <is>
          <t>결재 검토</t>
        </is>
      </c>
      <c r="F121" s="19" t="inlineStr">
        <is>
          <t>문서 작성</t>
        </is>
      </c>
      <c r="G121" s="20" t="n">
        <v>6.9</v>
      </c>
      <c r="H121" s="19" t="inlineStr">
        <is>
          <t>반려 사유를 늦게 알게 됨</t>
        </is>
      </c>
    </row>
  </sheetData>
  <autoFilter ref="A1:H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6" max="6"/>
    <col width="11" customWidth="1" min="7" max="7"/>
  </cols>
  <sheetData>
    <row r="1">
      <c r="A1" s="6" t="inlineStr">
        <is>
          <t>가장 하기 싫은 업무 설문 집계 (수식)</t>
        </is>
      </c>
    </row>
    <row r="2">
      <c r="A2" s="7" t="inlineStr">
        <is>
          <t>가중 점수 = 1순위 × 3 + 2순위 × 2 + 3순위 × 1. 응답을 고치면 다시 계산된다.</t>
        </is>
      </c>
    </row>
    <row r="3">
      <c r="A3" s="4" t="inlineStr">
        <is>
          <t>응답 수</t>
        </is>
      </c>
      <c r="B3" s="4">
        <f>COUNTA(설문_응답!$A$2:$A$121)</f>
        <v/>
      </c>
    </row>
    <row r="5">
      <c r="A5" s="8" t="inlineStr">
        <is>
          <t>선택지</t>
        </is>
      </c>
      <c r="B5" s="8" t="inlineStr">
        <is>
          <t>1순위 수</t>
        </is>
      </c>
      <c r="C5" s="8" t="inlineStr">
        <is>
          <t>2순위 수</t>
        </is>
      </c>
      <c r="D5" s="8" t="inlineStr">
        <is>
          <t>3순위 수</t>
        </is>
      </c>
      <c r="E5" s="8" t="inlineStr">
        <is>
          <t>가중 점수</t>
        </is>
      </c>
      <c r="F5" s="8" t="inlineStr">
        <is>
          <t>순위</t>
        </is>
      </c>
      <c r="G5" s="8" t="inlineStr">
        <is>
          <t>1순위 비율</t>
        </is>
      </c>
    </row>
    <row r="6">
      <c r="A6" s="9" t="inlineStr">
        <is>
          <t>처리 파악</t>
        </is>
      </c>
      <c r="B6" s="9">
        <f>COUNTIF(설문_응답!$D$2:$D$121,$A6)</f>
        <v/>
      </c>
      <c r="C6" s="9">
        <f>COUNTIF(설문_응답!$E$2:$E$121,$A6)</f>
        <v/>
      </c>
      <c r="D6" s="9">
        <f>COUNTIF(설문_응답!$F$2:$F$121,$A6)</f>
        <v/>
      </c>
      <c r="E6" s="9">
        <f>B6*3+C6*2+D6</f>
        <v/>
      </c>
      <c r="F6" s="9">
        <f>RANK(E6,$E$6:$E$12)</f>
        <v/>
      </c>
      <c r="G6" s="17">
        <f>IF($B$3=0,0,B6/$B$3)</f>
        <v/>
      </c>
    </row>
    <row r="7">
      <c r="A7" s="9" t="inlineStr">
        <is>
          <t>증빙 준비</t>
        </is>
      </c>
      <c r="B7" s="9">
        <f>COUNTIF(설문_응답!$D$2:$D$121,$A7)</f>
        <v/>
      </c>
      <c r="C7" s="9">
        <f>COUNTIF(설문_응답!$E$2:$E$121,$A7)</f>
        <v/>
      </c>
      <c r="D7" s="9">
        <f>COUNTIF(설문_응답!$F$2:$F$121,$A7)</f>
        <v/>
      </c>
      <c r="E7" s="9">
        <f>B7*3+C7*2+D7</f>
        <v/>
      </c>
      <c r="F7" s="9">
        <f>RANK(E7,$E$6:$E$12)</f>
        <v/>
      </c>
      <c r="G7" s="17">
        <f>IF($B$3=0,0,B7/$B$3)</f>
        <v/>
      </c>
    </row>
    <row r="8">
      <c r="A8" s="9" t="inlineStr">
        <is>
          <t>문서 작성</t>
        </is>
      </c>
      <c r="B8" s="9">
        <f>COUNTIF(설문_응답!$D$2:$D$121,$A8)</f>
        <v/>
      </c>
      <c r="C8" s="9">
        <f>COUNTIF(설문_응답!$E$2:$E$121,$A8)</f>
        <v/>
      </c>
      <c r="D8" s="9">
        <f>COUNTIF(설문_응답!$F$2:$F$121,$A8)</f>
        <v/>
      </c>
      <c r="E8" s="9">
        <f>B8*3+C8*2+D8</f>
        <v/>
      </c>
      <c r="F8" s="9">
        <f>RANK(E8,$E$6:$E$12)</f>
        <v/>
      </c>
      <c r="G8" s="17">
        <f>IF($B$3=0,0,B8/$B$3)</f>
        <v/>
      </c>
    </row>
    <row r="9">
      <c r="A9" s="9" t="inlineStr">
        <is>
          <t>반려 후 재작성</t>
        </is>
      </c>
      <c r="B9" s="9">
        <f>COUNTIF(설문_응답!$D$2:$D$121,$A9)</f>
        <v/>
      </c>
      <c r="C9" s="9">
        <f>COUNTIF(설문_응답!$E$2:$E$121,$A9)</f>
        <v/>
      </c>
      <c r="D9" s="9">
        <f>COUNTIF(설문_응답!$F$2:$F$121,$A9)</f>
        <v/>
      </c>
      <c r="E9" s="9">
        <f>B9*3+C9*2+D9</f>
        <v/>
      </c>
      <c r="F9" s="9">
        <f>RANK(E9,$E$6:$E$12)</f>
        <v/>
      </c>
      <c r="G9" s="17">
        <f>IF($B$3=0,0,B9/$B$3)</f>
        <v/>
      </c>
    </row>
    <row r="10">
      <c r="A10" s="9" t="inlineStr">
        <is>
          <t>진행 확인·문의</t>
        </is>
      </c>
      <c r="B10" s="9">
        <f>COUNTIF(설문_응답!$D$2:$D$121,$A10)</f>
        <v/>
      </c>
      <c r="C10" s="9">
        <f>COUNTIF(설문_응답!$E$2:$E$121,$A10)</f>
        <v/>
      </c>
      <c r="D10" s="9">
        <f>COUNTIF(설문_응답!$F$2:$F$121,$A10)</f>
        <v/>
      </c>
      <c r="E10" s="9">
        <f>B10*3+C10*2+D10</f>
        <v/>
      </c>
      <c r="F10" s="9">
        <f>RANK(E10,$E$6:$E$12)</f>
        <v/>
      </c>
      <c r="G10" s="17">
        <f>IF($B$3=0,0,B10/$B$3)</f>
        <v/>
      </c>
    </row>
    <row r="11">
      <c r="A11" s="9" t="inlineStr">
        <is>
          <t>결재 검토</t>
        </is>
      </c>
      <c r="B11" s="9">
        <f>COUNTIF(설문_응답!$D$2:$D$121,$A11)</f>
        <v/>
      </c>
      <c r="C11" s="9">
        <f>COUNTIF(설문_응답!$E$2:$E$121,$A11)</f>
        <v/>
      </c>
      <c r="D11" s="9">
        <f>COUNTIF(설문_응답!$F$2:$F$121,$A11)</f>
        <v/>
      </c>
      <c r="E11" s="9">
        <f>B11*3+C11*2+D11</f>
        <v/>
      </c>
      <c r="F11" s="9">
        <f>RANK(E11,$E$6:$E$12)</f>
        <v/>
      </c>
      <c r="G11" s="17">
        <f>IF($B$3=0,0,B11/$B$3)</f>
        <v/>
      </c>
    </row>
    <row r="12">
      <c r="A12" s="9" t="inlineStr">
        <is>
          <t>기타 사무</t>
        </is>
      </c>
      <c r="B12" s="9">
        <f>COUNTIF(설문_응답!$D$2:$D$121,$A12)</f>
        <v/>
      </c>
      <c r="C12" s="9">
        <f>COUNTIF(설문_응답!$E$2:$E$121,$A12)</f>
        <v/>
      </c>
      <c r="D12" s="9">
        <f>COUNTIF(설문_응답!$F$2:$F$121,$A12)</f>
        <v/>
      </c>
      <c r="E12" s="9">
        <f>B12*3+C12*2+D12</f>
        <v/>
      </c>
      <c r="F12" s="9">
        <f>RANK(E12,$E$6:$E$12)</f>
        <v/>
      </c>
      <c r="G12" s="17">
        <f>IF($B$3=0,0,B12/$B$3)</f>
        <v/>
      </c>
    </row>
    <row r="14">
      <c r="A14" s="16" t="inlineStr">
        <is>
          <t>직급군별 1순위 응답 수</t>
        </is>
      </c>
    </row>
    <row r="15">
      <c r="A15" s="8" t="inlineStr">
        <is>
          <t>선택지</t>
        </is>
      </c>
      <c r="B15" s="8" t="inlineStr">
        <is>
          <t>사원</t>
        </is>
      </c>
      <c r="C15" s="8" t="inlineStr">
        <is>
          <t>선임</t>
        </is>
      </c>
      <c r="D15" s="8" t="inlineStr">
        <is>
          <t>책임</t>
        </is>
      </c>
      <c r="E15" s="8" t="inlineStr">
        <is>
          <t>수석</t>
        </is>
      </c>
      <c r="F15" s="8" t="inlineStr">
        <is>
          <t>팀장 이상</t>
        </is>
      </c>
    </row>
    <row r="16">
      <c r="A16" s="9" t="inlineStr">
        <is>
          <t>처리 파악</t>
        </is>
      </c>
      <c r="B16" s="9">
        <f>COUNTIFS(설문_응답!$D$2:$D$121,$A16,설문_응답!$C$2:$C$121,B$15)</f>
        <v/>
      </c>
      <c r="C16" s="9">
        <f>COUNTIFS(설문_응답!$D$2:$D$121,$A16,설문_응답!$C$2:$C$121,C$15)</f>
        <v/>
      </c>
      <c r="D16" s="9">
        <f>COUNTIFS(설문_응답!$D$2:$D$121,$A16,설문_응답!$C$2:$C$121,D$15)</f>
        <v/>
      </c>
      <c r="E16" s="9">
        <f>COUNTIFS(설문_응답!$D$2:$D$121,$A16,설문_응답!$C$2:$C$121,E$15)</f>
        <v/>
      </c>
      <c r="F16" s="9">
        <f>COUNTIFS(설문_응답!$D$2:$D$121,$A16,설문_응답!$C$2:$C$121,F$15)</f>
        <v/>
      </c>
    </row>
    <row r="17">
      <c r="A17" s="9" t="inlineStr">
        <is>
          <t>증빙 준비</t>
        </is>
      </c>
      <c r="B17" s="9">
        <f>COUNTIFS(설문_응답!$D$2:$D$121,$A17,설문_응답!$C$2:$C$121,B$15)</f>
        <v/>
      </c>
      <c r="C17" s="9">
        <f>COUNTIFS(설문_응답!$D$2:$D$121,$A17,설문_응답!$C$2:$C$121,C$15)</f>
        <v/>
      </c>
      <c r="D17" s="9">
        <f>COUNTIFS(설문_응답!$D$2:$D$121,$A17,설문_응답!$C$2:$C$121,D$15)</f>
        <v/>
      </c>
      <c r="E17" s="9">
        <f>COUNTIFS(설문_응답!$D$2:$D$121,$A17,설문_응답!$C$2:$C$121,E$15)</f>
        <v/>
      </c>
      <c r="F17" s="9">
        <f>COUNTIFS(설문_응답!$D$2:$D$121,$A17,설문_응답!$C$2:$C$121,F$15)</f>
        <v/>
      </c>
    </row>
    <row r="18">
      <c r="A18" s="9" t="inlineStr">
        <is>
          <t>문서 작성</t>
        </is>
      </c>
      <c r="B18" s="9">
        <f>COUNTIFS(설문_응답!$D$2:$D$121,$A18,설문_응답!$C$2:$C$121,B$15)</f>
        <v/>
      </c>
      <c r="C18" s="9">
        <f>COUNTIFS(설문_응답!$D$2:$D$121,$A18,설문_응답!$C$2:$C$121,C$15)</f>
        <v/>
      </c>
      <c r="D18" s="9">
        <f>COUNTIFS(설문_응답!$D$2:$D$121,$A18,설문_응답!$C$2:$C$121,D$15)</f>
        <v/>
      </c>
      <c r="E18" s="9">
        <f>COUNTIFS(설문_응답!$D$2:$D$121,$A18,설문_응답!$C$2:$C$121,E$15)</f>
        <v/>
      </c>
      <c r="F18" s="9">
        <f>COUNTIFS(설문_응답!$D$2:$D$121,$A18,설문_응답!$C$2:$C$121,F$15)</f>
        <v/>
      </c>
    </row>
    <row r="19">
      <c r="A19" s="9" t="inlineStr">
        <is>
          <t>반려 후 재작성</t>
        </is>
      </c>
      <c r="B19" s="9">
        <f>COUNTIFS(설문_응답!$D$2:$D$121,$A19,설문_응답!$C$2:$C$121,B$15)</f>
        <v/>
      </c>
      <c r="C19" s="9">
        <f>COUNTIFS(설문_응답!$D$2:$D$121,$A19,설문_응답!$C$2:$C$121,C$15)</f>
        <v/>
      </c>
      <c r="D19" s="9">
        <f>COUNTIFS(설문_응답!$D$2:$D$121,$A19,설문_응답!$C$2:$C$121,D$15)</f>
        <v/>
      </c>
      <c r="E19" s="9">
        <f>COUNTIFS(설문_응답!$D$2:$D$121,$A19,설문_응답!$C$2:$C$121,E$15)</f>
        <v/>
      </c>
      <c r="F19" s="9">
        <f>COUNTIFS(설문_응답!$D$2:$D$121,$A19,설문_응답!$C$2:$C$121,F$15)</f>
        <v/>
      </c>
    </row>
    <row r="20">
      <c r="A20" s="9" t="inlineStr">
        <is>
          <t>진행 확인·문의</t>
        </is>
      </c>
      <c r="B20" s="9">
        <f>COUNTIFS(설문_응답!$D$2:$D$121,$A20,설문_응답!$C$2:$C$121,B$15)</f>
        <v/>
      </c>
      <c r="C20" s="9">
        <f>COUNTIFS(설문_응답!$D$2:$D$121,$A20,설문_응답!$C$2:$C$121,C$15)</f>
        <v/>
      </c>
      <c r="D20" s="9">
        <f>COUNTIFS(설문_응답!$D$2:$D$121,$A20,설문_응답!$C$2:$C$121,D$15)</f>
        <v/>
      </c>
      <c r="E20" s="9">
        <f>COUNTIFS(설문_응답!$D$2:$D$121,$A20,설문_응답!$C$2:$C$121,E$15)</f>
        <v/>
      </c>
      <c r="F20" s="9">
        <f>COUNTIFS(설문_응답!$D$2:$D$121,$A20,설문_응답!$C$2:$C$121,F$15)</f>
        <v/>
      </c>
    </row>
    <row r="21">
      <c r="A21" s="9" t="inlineStr">
        <is>
          <t>결재 검토</t>
        </is>
      </c>
      <c r="B21" s="9">
        <f>COUNTIFS(설문_응답!$D$2:$D$121,$A21,설문_응답!$C$2:$C$121,B$15)</f>
        <v/>
      </c>
      <c r="C21" s="9">
        <f>COUNTIFS(설문_응답!$D$2:$D$121,$A21,설문_응답!$C$2:$C$121,C$15)</f>
        <v/>
      </c>
      <c r="D21" s="9">
        <f>COUNTIFS(설문_응답!$D$2:$D$121,$A21,설문_응답!$C$2:$C$121,D$15)</f>
        <v/>
      </c>
      <c r="E21" s="9">
        <f>COUNTIFS(설문_응답!$D$2:$D$121,$A21,설문_응답!$C$2:$C$121,E$15)</f>
        <v/>
      </c>
      <c r="F21" s="9">
        <f>COUNTIFS(설문_응답!$D$2:$D$121,$A21,설문_응답!$C$2:$C$121,F$15)</f>
        <v/>
      </c>
    </row>
    <row r="22">
      <c r="A22" s="9" t="inlineStr">
        <is>
          <t>기타 사무</t>
        </is>
      </c>
      <c r="B22" s="9">
        <f>COUNTIFS(설문_응답!$D$2:$D$121,$A22,설문_응답!$C$2:$C$121,B$15)</f>
        <v/>
      </c>
      <c r="C22" s="9">
        <f>COUNTIFS(설문_응답!$D$2:$D$121,$A22,설문_응답!$C$2:$C$121,C$15)</f>
        <v/>
      </c>
      <c r="D22" s="9">
        <f>COUNTIFS(설문_응답!$D$2:$D$121,$A22,설문_응답!$C$2:$C$121,D$15)</f>
        <v/>
      </c>
      <c r="E22" s="9">
        <f>COUNTIFS(설문_응답!$D$2:$D$121,$A22,설문_응답!$C$2:$C$121,E$15)</f>
        <v/>
      </c>
      <c r="F22" s="9">
        <f>COUNTIFS(설문_응답!$D$2:$D$121,$A22,설문_응답!$C$2:$C$121,F$15)</f>
        <v/>
      </c>
    </row>
    <row r="23">
      <c r="A23" s="4" t="inlineStr">
        <is>
          <t>응답 수</t>
        </is>
      </c>
      <c r="B23" s="21">
        <f>SUM(B16:B22)</f>
        <v/>
      </c>
      <c r="C23" s="21">
        <f>SUM(C16:C22)</f>
        <v/>
      </c>
      <c r="D23" s="21">
        <f>SUM(D16:D22)</f>
        <v/>
      </c>
      <c r="E23" s="21">
        <f>SUM(E16:E22)</f>
        <v/>
      </c>
      <c r="F23" s="21">
        <f>SUM(F16:F22)</f>
        <v/>
      </c>
    </row>
    <row r="24">
      <c r="A24" s="4" t="inlineStr">
        <is>
          <t>평균 주당 전결 처리 시간</t>
        </is>
      </c>
      <c r="B24" s="14">
        <f>IFERROR(AVERAGEIF(설문_응답!$C$2:$C$121,B$15,설문_응답!$G$2:$G$121),0)</f>
        <v/>
      </c>
      <c r="C24" s="14">
        <f>IFERROR(AVERAGEIF(설문_응답!$C$2:$C$121,C$15,설문_응답!$G$2:$G$121),0)</f>
        <v/>
      </c>
      <c r="D24" s="14">
        <f>IFERROR(AVERAGEIF(설문_응답!$C$2:$C$121,D$15,설문_응답!$G$2:$G$121),0)</f>
        <v/>
      </c>
      <c r="E24" s="14">
        <f>IFERROR(AVERAGEIF(설문_응답!$C$2:$C$121,E$15,설문_응답!$G$2:$G$121),0)</f>
        <v/>
      </c>
      <c r="F24" s="14">
        <f>IFERROR(AVERAGEIF(설문_응답!$C$2:$C$121,F$15,설문_응답!$G$2:$G$121),0)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approval-demo seedgen</dc:creator>
  <dcterms:created xsi:type="dcterms:W3CDTF">2026-11-12T10:00:00Z</dcterms:created>
  <dcterms:modified xsi:type="dcterms:W3CDTF">2026-10-23T01:15:51Z</dcterms:modified>
</cp:coreProperties>
</file>